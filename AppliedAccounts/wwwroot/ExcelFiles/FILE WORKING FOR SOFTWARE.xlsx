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c4bf3d2895b233f1/Applied Accounts/Hanb/"/>
    </mc:Choice>
  </mc:AlternateContent>
  <xr:revisionPtr revIDLastSave="12" documentId="11_79170A76BA7D42B593190EF073564DB241783898" xr6:coauthVersionLast="47" xr6:coauthVersionMax="47" xr10:uidLastSave="{36E7AC7D-4750-4340-B369-69F33592A619}"/>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2" i="1" l="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J13" i="1"/>
  <c r="I13" i="1"/>
  <c r="J12" i="1"/>
  <c r="I12" i="1"/>
  <c r="J11" i="1"/>
  <c r="I11" i="1"/>
  <c r="J10" i="1"/>
  <c r="I10" i="1"/>
  <c r="J9" i="1"/>
  <c r="I9" i="1"/>
  <c r="J8" i="1"/>
  <c r="I8" i="1"/>
  <c r="J7" i="1"/>
  <c r="I7" i="1"/>
  <c r="J6" i="1"/>
  <c r="I6" i="1"/>
  <c r="J5" i="1"/>
  <c r="I5" i="1"/>
  <c r="J4" i="1"/>
  <c r="I4" i="1"/>
</calcChain>
</file>

<file path=xl/sharedStrings.xml><?xml version="1.0" encoding="utf-8"?>
<sst xmlns="http://schemas.openxmlformats.org/spreadsheetml/2006/main" count="571" uniqueCount="372">
  <si>
    <t xml:space="preserve">Hanburies Product Profile </t>
  </si>
  <si>
    <t xml:space="preserve">PHARMACEUTICAL PRODUCTS (FOR Marketing) </t>
  </si>
  <si>
    <t>S.No.</t>
  </si>
  <si>
    <t>Product Name</t>
  </si>
  <si>
    <t>Formulation</t>
  </si>
  <si>
    <t>Pack Size</t>
  </si>
  <si>
    <t>Carton Size</t>
  </si>
  <si>
    <t>MRP</t>
  </si>
  <si>
    <t>Net Rates</t>
  </si>
  <si>
    <t>Acnoren 20mg Tab</t>
  </si>
  <si>
    <t>Isotretinoin</t>
  </si>
  <si>
    <t>30's</t>
  </si>
  <si>
    <t>1's</t>
  </si>
  <si>
    <t>Afran 500mg Tablets</t>
  </si>
  <si>
    <t>Brexidol 20mg</t>
  </si>
  <si>
    <t>20'S</t>
  </si>
  <si>
    <t>Dazod 50mg</t>
  </si>
  <si>
    <t>Trazodone HCL</t>
  </si>
  <si>
    <t>Dazod 100mg</t>
  </si>
  <si>
    <t>20’s</t>
  </si>
  <si>
    <t>30’s</t>
  </si>
  <si>
    <t>Esim 20mg Capsule</t>
  </si>
  <si>
    <t xml:space="preserve">Esomeprazole </t>
  </si>
  <si>
    <t>14's</t>
  </si>
  <si>
    <t>10’s</t>
  </si>
  <si>
    <t>1’s</t>
  </si>
  <si>
    <t>12’s</t>
  </si>
  <si>
    <t>Oclidin 5mg</t>
  </si>
  <si>
    <t>Procyclidine</t>
  </si>
  <si>
    <t>100's</t>
  </si>
  <si>
    <t>14’s</t>
  </si>
  <si>
    <t>5’s</t>
  </si>
  <si>
    <t>Nitrazim 2.6mg Tablet</t>
  </si>
  <si>
    <t>Nitrglycerin</t>
  </si>
  <si>
    <t>Nitrazim 6.4mg Tablet</t>
  </si>
  <si>
    <t>Valnom Tablet 40mg</t>
  </si>
  <si>
    <t>Valsartan</t>
  </si>
  <si>
    <t>Valnom Tablet 80mg</t>
  </si>
  <si>
    <t>Valnom Tablet 80mg/12.5mg</t>
  </si>
  <si>
    <t>Valsartan+Hydrochlorothiazide</t>
  </si>
  <si>
    <t>Arthrit Tablet</t>
  </si>
  <si>
    <t>Hydroxychloroquine</t>
  </si>
  <si>
    <t>Crifos sachet 3gm</t>
  </si>
  <si>
    <t>Fosfomycin</t>
  </si>
  <si>
    <t>Misopa tab 200mcg</t>
  </si>
  <si>
    <t>Misoprostol</t>
  </si>
  <si>
    <t>10's</t>
  </si>
  <si>
    <t>50’s</t>
  </si>
  <si>
    <t>Tranxit cap 500mg</t>
  </si>
  <si>
    <t>Tranexamic Acid</t>
  </si>
  <si>
    <t>20's</t>
  </si>
  <si>
    <t>Tranxit cap 250mg</t>
  </si>
  <si>
    <t>Parawomen 500mg/25mg</t>
  </si>
  <si>
    <t>Paracetamol+Pamabrom</t>
  </si>
  <si>
    <t>Rodexil sus</t>
  </si>
  <si>
    <t>Cefadroxil 125mg/5ml</t>
  </si>
  <si>
    <t>60ml</t>
  </si>
  <si>
    <t>Cefadroxil 250mg/5ml</t>
  </si>
  <si>
    <t>Rodexil cap</t>
  </si>
  <si>
    <t>Cefadroxil 500mg</t>
  </si>
  <si>
    <t>12's</t>
  </si>
  <si>
    <t>Mebew tab</t>
  </si>
  <si>
    <t>Mebeverine 135mg</t>
  </si>
  <si>
    <t>Linoxi tab</t>
  </si>
  <si>
    <t>Lornoxicam 8mg</t>
  </si>
  <si>
    <t>Kalixx</t>
  </si>
  <si>
    <t>celecoxib 200mg</t>
  </si>
  <si>
    <t>MediPenem</t>
  </si>
  <si>
    <t>Meropenem 1gm</t>
  </si>
  <si>
    <t>Meropenem 500gm</t>
  </si>
  <si>
    <t>Dipnec Tab 75mg</t>
  </si>
  <si>
    <t>Diclofenac Potassium</t>
  </si>
  <si>
    <t>Abro 10mg Tab</t>
  </si>
  <si>
    <t>Ebastine</t>
  </si>
  <si>
    <t>Clovex 250mg Tab</t>
  </si>
  <si>
    <t>Levofloxacin USP</t>
  </si>
  <si>
    <t>Clovex 500mg Tab</t>
  </si>
  <si>
    <t>Levera 5mg Tab</t>
  </si>
  <si>
    <t>Levocetirizine Dihydrochloride</t>
  </si>
  <si>
    <t>Forazin 10mg Tab</t>
  </si>
  <si>
    <t>Cetirizine BP</t>
  </si>
  <si>
    <t>Lorata 10mg Tab</t>
  </si>
  <si>
    <t>Loratadine USP</t>
  </si>
  <si>
    <t>Hasty 60mg Tab</t>
  </si>
  <si>
    <t>Fexofenadine HCL</t>
  </si>
  <si>
    <t>Hasty 120mg Tab</t>
  </si>
  <si>
    <t>Hasty Fort 180mg Tab</t>
  </si>
  <si>
    <t>Orazan 35/450mg Tab</t>
  </si>
  <si>
    <t>Orphenadrine Citrate/Paracetamol</t>
  </si>
  <si>
    <t>Elrond 50mg Tab</t>
  </si>
  <si>
    <t>Eperisone HCL</t>
  </si>
  <si>
    <t>Morax 400mg Tab</t>
  </si>
  <si>
    <t>Moxifloxacin BP</t>
  </si>
  <si>
    <t>5's</t>
  </si>
  <si>
    <t>Axocip 250mg Tab</t>
  </si>
  <si>
    <t>Ciprofloxacin USP</t>
  </si>
  <si>
    <t>Axocip 500mg Tab</t>
  </si>
  <si>
    <t>Dexjet 30mg Cap</t>
  </si>
  <si>
    <t>Dexlasoprazole</t>
  </si>
  <si>
    <t>Dexjet 60mg Cap</t>
  </si>
  <si>
    <t>Esik 500mg/20mg Tab</t>
  </si>
  <si>
    <t>Naproxen + Esomeprazole</t>
  </si>
  <si>
    <t>Ibadonic 150mg Tab</t>
  </si>
  <si>
    <t>Ibandronic Acid</t>
  </si>
  <si>
    <t>Frazzel 100mg Tab</t>
  </si>
  <si>
    <t>Phenazopyridine HCL</t>
  </si>
  <si>
    <t>Finojet 5mg Tab</t>
  </si>
  <si>
    <t>Finasteride</t>
  </si>
  <si>
    <t>Azizan 250mg Tab</t>
  </si>
  <si>
    <t>Azithromycin</t>
  </si>
  <si>
    <t>Azizan 500mg Tab</t>
  </si>
  <si>
    <t>6's</t>
  </si>
  <si>
    <t>Gisada 1g syrup</t>
  </si>
  <si>
    <t>Sucralfate</t>
  </si>
  <si>
    <t>120ml</t>
  </si>
  <si>
    <t>VORICON 200mg TAB</t>
  </si>
  <si>
    <t>Voriconazol</t>
  </si>
  <si>
    <t>Lvef 24mg/26mg</t>
  </si>
  <si>
    <t>Sacubitril …….24mg Valsartan ……26mg</t>
  </si>
  <si>
    <t>Lvef 49mg/51mg</t>
  </si>
  <si>
    <t>Sacubitril …….49mg Valsartan …….51mg</t>
  </si>
  <si>
    <t>Revilife 100mg tablets</t>
  </si>
  <si>
    <t>Fluvoxamine Maleate</t>
  </si>
  <si>
    <t>Thiofaas 4mg Capsules</t>
  </si>
  <si>
    <t>Thiocolchicoside</t>
  </si>
  <si>
    <t>Endopime 500mg Injection</t>
  </si>
  <si>
    <t>Cefepime HCl</t>
  </si>
  <si>
    <t>Endopime 1000mg Injection</t>
  </si>
  <si>
    <t>GHC 5000iu injection</t>
  </si>
  <si>
    <t>Human Chorionic Gonadotropin</t>
  </si>
  <si>
    <t>GHM 75iu injection</t>
  </si>
  <si>
    <t>Human Menopausal Gonadotrpin</t>
  </si>
  <si>
    <t>Diprate SR 500mg</t>
  </si>
  <si>
    <t>Divalproex Sodium</t>
  </si>
  <si>
    <t>Dothe 75mg</t>
  </si>
  <si>
    <t>Dosulepin HCL</t>
  </si>
  <si>
    <t>Byso 5mg TAB</t>
  </si>
  <si>
    <t>Bisoprolol</t>
  </si>
  <si>
    <t>Byso 10mg TAB</t>
  </si>
  <si>
    <t>Vominec 8mg TAB</t>
  </si>
  <si>
    <t>Ondansetron HCI</t>
  </si>
  <si>
    <t>Vominec 4mg/5ml Syrup</t>
  </si>
  <si>
    <t>50ml</t>
  </si>
  <si>
    <t>Enerjet 500mg/10ml inj</t>
  </si>
  <si>
    <t>Ferric corboxymaltose</t>
  </si>
  <si>
    <t>Famzan 40mg Tab</t>
  </si>
  <si>
    <t>Famotidine</t>
  </si>
  <si>
    <t>Medinib 5mg TAB</t>
  </si>
  <si>
    <t>Tofacitinib</t>
  </si>
  <si>
    <t>Baclosyn 10mg TAB</t>
  </si>
  <si>
    <t>LR</t>
  </si>
  <si>
    <t>Katix 30mg/ml injection</t>
  </si>
  <si>
    <t>Ketorolec Tromethamine</t>
  </si>
  <si>
    <t>TACA 1mg Capsule</t>
  </si>
  <si>
    <t>Tacrolimus</t>
  </si>
  <si>
    <t>TACA 0.5mg Capsule</t>
  </si>
  <si>
    <t>TACA 0.1%w/w Oint</t>
  </si>
  <si>
    <t>Dydropil 10mg TAB</t>
  </si>
  <si>
    <t>Dydrogesteron</t>
  </si>
  <si>
    <t>Norepil 5mg TAB</t>
  </si>
  <si>
    <t>Norethisterone</t>
  </si>
  <si>
    <t>Lacsum 50mg Tab</t>
  </si>
  <si>
    <t>Lacosamide USP</t>
  </si>
  <si>
    <t>Lacsum 100mg Tab</t>
  </si>
  <si>
    <t>Vance-D Softgels</t>
  </si>
  <si>
    <t>Vitamin D3........200,000IU                 Vitamin C...................5mg</t>
  </si>
  <si>
    <t>4's</t>
  </si>
  <si>
    <t>Eligest 2mg/0.5mg TAB</t>
  </si>
  <si>
    <t>Estradiol+Norgestrel</t>
  </si>
  <si>
    <t>Flurbac-100 Tab</t>
  </si>
  <si>
    <t>Flurbiprofen</t>
  </si>
  <si>
    <t>Selam 400mg Tab</t>
  </si>
  <si>
    <t>Sevelamer HCL</t>
  </si>
  <si>
    <t>NUTRACEUTICALS PRODUCTS</t>
  </si>
  <si>
    <t>Cal-Bies Plus (Tablet)</t>
  </si>
  <si>
    <t>Calcium Carbonate …. 1000mg Vitamin D3 …. 400IU          Vitamin K2…. 180mcg</t>
  </si>
  <si>
    <t>Cal-Bies Plus (Syrup)</t>
  </si>
  <si>
    <t>Calcium Carbonate ….750mg Vitamin D3….400IU      Magnesium oxide …. 100mg      zinc sulphate …. 5mg</t>
  </si>
  <si>
    <t>Multibies (Tablet)</t>
  </si>
  <si>
    <t>Multivitamin / Multi Mineral food supplement</t>
  </si>
  <si>
    <t>Multibies (Syrup)</t>
  </si>
  <si>
    <t>Es-Fibol (Sachet)</t>
  </si>
  <si>
    <t>ispaghula husk …. 3.9      Wheat dextrin …. 1.1         green tea …. 15mg</t>
  </si>
  <si>
    <t>10 Sachet Box</t>
  </si>
  <si>
    <t>Es-Fibol (Syrup)</t>
  </si>
  <si>
    <t>Wheat Dextrin Fibre 3.5g</t>
  </si>
  <si>
    <t>Cal-C-Source (Sachet)</t>
  </si>
  <si>
    <t>Calcium Lactate  Gluoconate …. 1000mg Vitamin C</t>
  </si>
  <si>
    <t>Cran-Source (Sachet)</t>
  </si>
  <si>
    <t>Cranberry Juice Extract … 360mg Vitamin C …. 50mg Vitamin B6 … 2.0mg</t>
  </si>
  <si>
    <t>Bistracid (Antacid Syrup)</t>
  </si>
  <si>
    <t>Fennel oil (USP) … 50mg Powder ginger extract … 15mg Menthol … 01mg     Peppermint Oil … 40mg</t>
  </si>
  <si>
    <t>Pentabies (IVY Cough Leaf Syrup)</t>
  </si>
  <si>
    <t>IVY Leaf extracts … 35mg Menthol (USP) … 02mg Glycyrrizhia , Glabra extract 10mg</t>
  </si>
  <si>
    <t>Apizone syp (Appetizer)</t>
  </si>
  <si>
    <t>Rycal-D</t>
  </si>
  <si>
    <t>calcium+vitamin D3+Mgnesium</t>
  </si>
  <si>
    <t>Fibrox sachet</t>
  </si>
  <si>
    <t>Fibrox syp</t>
  </si>
  <si>
    <t>Wheat Dextrin Fibre 100mg</t>
  </si>
  <si>
    <t>Gastrolax syp (Antacid )</t>
  </si>
  <si>
    <t>Fennel oil (USP) … 75mg Powder ginger extract … 25mg Peppermint Oil … 05mg</t>
  </si>
  <si>
    <t>Glozoom Tab</t>
  </si>
  <si>
    <t>Hi-D syp</t>
  </si>
  <si>
    <t>Vitamin D3 (200000iu)</t>
  </si>
  <si>
    <t>20ml</t>
  </si>
  <si>
    <t>Fidum sachet</t>
  </si>
  <si>
    <t>Prebiotic + Prebiotic</t>
  </si>
  <si>
    <t>Platon</t>
  </si>
  <si>
    <t>Carica Papaya</t>
  </si>
  <si>
    <t>D-Gen (Softjel cap)</t>
  </si>
  <si>
    <t>Celestia</t>
  </si>
  <si>
    <t>Myo-inositol , D-chiro Inositol,Alpha Lactalbumin &amp; L-methylfolate</t>
  </si>
  <si>
    <t>Berryvit Sachet</t>
  </si>
  <si>
    <t>Cranberry fruit extract (10:1) …….. 250mg</t>
  </si>
  <si>
    <t>Vitamin E ……………….………… 2.7mg</t>
  </si>
  <si>
    <t>Vitamin C ……….………………… 20mg</t>
  </si>
  <si>
    <t>Vizy Cough Syrup</t>
  </si>
  <si>
    <t>Ivy Leaf Ext………………35mg</t>
  </si>
  <si>
    <t>Vizy Plus Cough Sryu</t>
  </si>
  <si>
    <t>Each 5ml contains Ivy Leaf Ext……….35mg Thyme Ext……………………………..20mg Licorice Ext……………………………20mg</t>
  </si>
  <si>
    <t>VIRO-Z JAR/Blister</t>
  </si>
  <si>
    <t>Vitamin C………….........250mg Vitamin A (USP)............2500IU Vitamin B1 (USP)............2.7mg Vitamin B2 (BP) …….....2.5mg Vitamin B3 (BP)...............20mg Vitamin E (BP)………….50mg Vitamin B6 (BP)..............2.5mg Vitamin B12 (USP)...........8mcg Biotin...........................2500mcg L-Methyl folate (USP)................400mcg Minerals, Ginseng Extract, Lycopene Extract, Lutein Extract</t>
  </si>
  <si>
    <t>INFIGO 30g Cream</t>
  </si>
  <si>
    <t>Each 30 gram contains: Witch Hazel Extract……………1% Horse Chest Nut Extract……......0.1%</t>
  </si>
  <si>
    <t>URIXA Sachets</t>
  </si>
  <si>
    <t>Cranberry Fruit Extract (USP)...250mg</t>
  </si>
  <si>
    <t>Effrocal Sachets</t>
  </si>
  <si>
    <t>Calcium Carbonate (USP)……………500mg Vitamin C (USP).…………………….500</t>
  </si>
  <si>
    <t>CalUp Suspension</t>
  </si>
  <si>
    <t>Calcium Carbonate (Ph.Eur)……….…750mg Vitamin D3……………………………200IU Zinc……………………………………15mg Magnesium……………………………100mg</t>
  </si>
  <si>
    <t>Erimin Tab 1mg</t>
  </si>
  <si>
    <t>Methylcobalmin</t>
  </si>
  <si>
    <t>Erimin Tab 2mg</t>
  </si>
  <si>
    <t>Livogard Syrup</t>
  </si>
  <si>
    <t>Licorice Ext………………..25mg Silymarin ............................100mg Wormwood Ext…………...25mg Endive Ext...........................25mg Alfalfa Ext……………...…25mg</t>
  </si>
  <si>
    <t>NUTRITIONAL PRODUCTS</t>
  </si>
  <si>
    <t>INFIT-1 Infant Formula 0-6 MONTHS</t>
  </si>
  <si>
    <t>Energy, Protein (Whey-Casein) Fat (Linoleic acid a-Linolenic acid ARA DHA Total Carbohydrate FOS) Vitamins (A, D3, E, K, C, B1, B2, B6, B12, Folic acid, Niacin, Pantothenic acid, Biotin Minerals (Phosphorus, Sodium, Potassium, Chloride, Calcium, Magnesium, Iron, Zinc, Manganese, Copper, Iodine, Selenium) Others (Myo-Inosital, Cholinne, L-Carnitine, Taurine)</t>
  </si>
  <si>
    <t>200gm</t>
  </si>
  <si>
    <t>INFIT-2 Infant Formula 6-12 MONTHS</t>
  </si>
  <si>
    <t>Energy, Protein (Whey-Casein) Fat (Linoleic acid a-Linolenic acid ARA DHA Total Carbohydrate FOS) Vitamins (A, D3, E, K, C, B1, B2, B6, B12, Folic acid, Niacin, Pantothenic acid, Biotin Minerals (Phosphorus, Sodium, Potassium, Chloride, Calcium,</t>
  </si>
  <si>
    <t>INFIT-LF Infant Formula LACTOSE FREE</t>
  </si>
  <si>
    <t>Energy, Protein (Whey-Casein) Fat (Linoleic acid a-Linolenic acid ARA DHA Total Carbohydrate FOS) 164. INFIT-LF Infant Formula LACTOSE FREE Vitamins (A, D3, E, K, C, B1, B2, B6, B12, Folic acid, Niacin, Pantothenic acid, Biotin Minerals (Phosphorus, Sodium, Potassium, Chloride, Calcium, Magnesium, Iron, Zinc, Manganese, Copper, Iodine, Selenium)Others (Myo Inosital, Cholinne, L-Carnitine, Taurine)</t>
  </si>
  <si>
    <t>MIRMAN NUTRITIONAL FORMULA FOR PREGNANT &amp; LACTATING MOTHERS</t>
  </si>
  <si>
    <t>Energy, Protein Fat (DHA, Carbohydrate FOS), Vitamins (A, D3, E, K1, C, B1, B2, B6, B12, Folic acid, Niacin, Pantothenic 200gm 900 acid, Biotin, Choline, Minerals (Phosphorus, Sodium, Potassium, Chloride, Calcium, Magnesium, Iron, Zinc, Manganese, Copper, Iodine, Selenium, Chromium)</t>
  </si>
  <si>
    <t>COSMECEUTICAL PRODUCTS</t>
  </si>
  <si>
    <t>Perlet 60ml Lotion Anti-Scabies</t>
  </si>
  <si>
    <t>Permethrin 5%</t>
  </si>
  <si>
    <t>Dentum Mouth Wash</t>
  </si>
  <si>
    <t>Composition: Chlorhexidine gluconate (B.P).........0.2% w/v Clove extract......................................1% v/v Thyme extract.....................................1% v/v Basil extract.....................................0.2% v/v</t>
  </si>
  <si>
    <t>Glovital Sunblock 60 SPF</t>
  </si>
  <si>
    <t>Composition:                                                                      Glutathione 1%, Alpha Arbutin 2%, Tocopherol Alfa 0.5%, Grape Seed Oil 0.5%, Jojoba Oil 0.5%, Soya Glycerin 3%</t>
  </si>
  <si>
    <t>60gm</t>
  </si>
  <si>
    <t>Glovital Serum</t>
  </si>
  <si>
    <t>Composition:                                                                            Retinol Palmitate, Vitamin E &amp; Aloe Vera Extract</t>
  </si>
  <si>
    <t>30ml</t>
  </si>
  <si>
    <t>Glovital Facewash</t>
  </si>
  <si>
    <t>Composition: Glabridin, Allantoin, Vitamin E, Niacinamide Complex, Orchid Extract, Mulberry Extract.</t>
  </si>
  <si>
    <t>80gm</t>
  </si>
  <si>
    <t>Glovital Glowing Skin Cream</t>
  </si>
  <si>
    <t>Composition:                                                                     Glabridin, L-Glutathione (Reduced), Sodium Ascorbyl Phosphate, Alpha-Arbutin, Orchid Extract, Mulberry Extract &amp; Iron Oxide.</t>
  </si>
  <si>
    <t>30gm</t>
  </si>
  <si>
    <t>Protacne Anti-Acne Soap</t>
  </si>
  <si>
    <t>Composition:                                                                        Salicylic Acid 0.5%, Tea Tree Oil 1%, Moringa extract 1%, Calendula Extract 1%, Neem Extract 3%</t>
  </si>
  <si>
    <t>85gm</t>
  </si>
  <si>
    <t>Perish Anti-Fungal Soap</t>
  </si>
  <si>
    <t>Composition: Zinc pyrithion 2%, Salicylic acid 1%, Sulphur 6%</t>
  </si>
  <si>
    <t>Maxkleen Medicated Bar</t>
  </si>
  <si>
    <t>Composition: Precipitated Sulphur 5%, Calendula 2%</t>
  </si>
  <si>
    <t>D-Scab Anti-Scabies Soap</t>
  </si>
  <si>
    <t>Composition: Ingredients Permethrin 3%, Sulphur10%</t>
  </si>
  <si>
    <t>Celscab Anti-Scabies Soap</t>
  </si>
  <si>
    <t>Composition: Permethrin 3%, Sulphur 10%</t>
  </si>
  <si>
    <t>Celscab Lotion Anti-Scabies Lotion</t>
  </si>
  <si>
    <t>Each ml Contains: Natural Permethrin Extract of dried Chrysanthemum cineraiaefolium flower head Permethrin 5%, Sulphur 10%</t>
  </si>
  <si>
    <t>100ml</t>
  </si>
  <si>
    <t xml:space="preserve">Humide Moisturizer Soap </t>
  </si>
  <si>
    <t>Vitamin E 0.5%, Aloe Vera 2%, Glycerin 3%, Dimethicon 1%, Isopropyl Myristate 1%</t>
  </si>
  <si>
    <t>Humide Moisturizer Lotion</t>
  </si>
  <si>
    <t>Composition: Deionized water, glycerin, caprylic, capric triglyceride, dimethicone, mineral oil, cetyl alchohol, petrolatum, glyceryl stearate, cetostearyl alchohol, Stearic acid, glyceryl hydroxy stearate, DMDM hydantoin, ceteareth-20, vitamin E acetate, vitamin-A, disodium EDTA, Methyl paraben, carbomer, propyl paraben, Tri-Ethanolamine</t>
  </si>
  <si>
    <t>Emolax Emollient</t>
  </si>
  <si>
    <t>Each gram contains: White Soft Paraffin (BP)……..88% w/w Hard Paraffin (BP)…………0.50% w/w Liquid Paraffin (BP)……….11.5% w/w</t>
  </si>
  <si>
    <t>100gm</t>
  </si>
  <si>
    <t>MariSol Cleanser for Intimate Hygiene</t>
  </si>
  <si>
    <t>Composition: Aqua, Disodium laureth sulfosuccinate, Sodium cocoyl hydrolized wheat protein, Propylene glycol, Phenoxyethanol Hydroxypropyl guar, Cocamide DEA, Citric acid, Fragrance, Tetrasodium EDTA, Sorbic acid, Sodium methylparaben.</t>
  </si>
  <si>
    <t>Solirox Anti Hair Fall Shampoo</t>
  </si>
  <si>
    <t>Composition: Purified Aqua, Sodium Lauryl Ether sulfate, Aloe Barbadensis Leaf Extract, Zinc Pyrithione, Cocamidopropyl Betain, Veegum Pro, Glycerin, Polyquaternium-11, Polyquaternium-7,Cocamide DEA, Lanolin Cera, Climbazole, D-Panthenol, Penthenyl Hydroxypropyl Steardimonium Chloride, Guar Hydroxypropyl-trimonium Chloride, Perfume, DMDM Hydantion, Methylparaben, Disodium EDTA, Propylparaben, Citric Acid, Biotin.</t>
  </si>
  <si>
    <t>Pelliruf Anti Dandruff Shampoo</t>
  </si>
  <si>
    <t>Composition: Deionized Water, Sodium Lauryl Ether Sulphate, Cocamidopropyl Betaine, Salicylic Acid, Tetrasodium EDTA, Triethnolamine Sodium Lauryl Ether Sulphate, Veegum, Polyquatermium 7, Acrylamide-co Diallyldimethylammonium, Ciclopirox Olamine Acrylates/ Vinyl isodecanoate Crosspolymer, Propylene Glycol, D-Panthenol, Guar Hydroxypropyl Trimonium Chloride, Fragrance, DMDM Hydantion, Phenoxyethanol, Tocopheryl Acetate, Citric Acid</t>
  </si>
  <si>
    <t>Avitar Shampoo Anti-Pruritus &amp; Anti-Bacterial</t>
  </si>
  <si>
    <t>Composition: Coaltar 2%, Climbazol 1%, salicylic acid 2% oleic acid 6%, Lecithin 5%, Carbapol 940 0.4%, Isopropyl mysistate 6%, Methyl Salicylate 0.5%, span 80 0.5%, Cantharidine oil 4%, Almond oil 5%, Isopropyl Aicohol 1% , Butylated hydroxy
talune 0.5%, Tween 80 3% ploxamer 407 2%.</t>
  </si>
  <si>
    <t>Hair4U Anti-Hairfall Spray</t>
  </si>
  <si>
    <t>Procapil, Biocapil, Anagain, Capixyl, Redensyl</t>
  </si>
  <si>
    <t>Brita face wash Natural cleansing</t>
  </si>
  <si>
    <t>Glabridin,Allantoin,Vitamin E,Niacinamide Complex,Orchid Extract,Mulberry Extract,Tea Tree Extract</t>
  </si>
  <si>
    <t>Brita sun screen</t>
  </si>
  <si>
    <t>Butyl Hydroxycyclohexane arboxylate, Oleanolic Acid, NDGA, Octyl Methyoxy Cinnamate, Tea Tree oil, Titanium Dioxide, Aqua, Butylene Glycol, Carbomer, Oxybenzone ,Zinc Oxide, Mexoryl, Hyaluronic Acid.</t>
  </si>
  <si>
    <t>Brita whitening cream</t>
  </si>
  <si>
    <t>L-Glutathione (Reduced), Zinc Oxide,Niacinamide, Vitamin A, Vitamin E, Alpha Arbutin, Licorice Extract, Octyl Methoxycinnamate, Mineral Oil, Stearic Acid, Caprylic-Capric Triglycerides,Cyclopent Asiloxane, Glyceryl Monostearate, Avobenzone, Propylen Glycol, PEG-100 Stearate, Isopropyl Myristate, Glycerine, Steareth-20, Cetyl Palmitate, Cetostearyl Palmitate, Cetyl Alcohol, Sodium Ascorbyl Phosphate, Titanium Dioxide, Dimethicone, Pyridoxine, Fragrance, Carbomer, Triethanolamine, Allantoin, Undecylenoyl Phenylalanine, Disodium EDTA, Citric Acid, Sodium Citrate, Water q.s, Colourant.</t>
  </si>
  <si>
    <r>
      <rPr>
        <b/>
        <sz val="10"/>
        <rFont val="Book Antiqua"/>
        <family val="1"/>
      </rPr>
      <t>Afran 1gm Injection</t>
    </r>
  </si>
  <si>
    <r>
      <rPr>
        <b/>
        <sz val="10"/>
        <rFont val="Book Antiqua"/>
        <family val="1"/>
      </rPr>
      <t>Cefotaxime</t>
    </r>
  </si>
  <si>
    <r>
      <rPr>
        <b/>
        <sz val="10"/>
        <rFont val="Book Antiqua"/>
        <family val="1"/>
      </rPr>
      <t>Piroxicam Betacyclodextrin</t>
    </r>
  </si>
  <si>
    <r>
      <rPr>
        <b/>
        <sz val="10"/>
        <rFont val="Book Antiqua"/>
        <family val="1"/>
      </rPr>
      <t>Celtic 200mg Capsule</t>
    </r>
  </si>
  <si>
    <r>
      <rPr>
        <b/>
        <sz val="10"/>
        <rFont val="Book Antiqua"/>
        <family val="1"/>
      </rPr>
      <t>Celecoxbib</t>
    </r>
  </si>
  <si>
    <r>
      <rPr>
        <b/>
        <sz val="10"/>
        <rFont val="Book Antiqua"/>
        <family val="1"/>
      </rPr>
      <t>Edilu 100mg Tab</t>
    </r>
  </si>
  <si>
    <r>
      <rPr>
        <b/>
        <sz val="10"/>
        <rFont val="Book Antiqua"/>
        <family val="1"/>
      </rPr>
      <t>Nimesulide</t>
    </r>
  </si>
  <si>
    <r>
      <rPr>
        <b/>
        <sz val="10"/>
        <rFont val="Book Antiqua"/>
        <family val="1"/>
      </rPr>
      <t>E-Pram 10mg Tablets</t>
    </r>
  </si>
  <si>
    <r>
      <rPr>
        <b/>
        <sz val="10"/>
        <rFont val="Book Antiqua"/>
        <family val="1"/>
      </rPr>
      <t>Escitalopram Oxalate</t>
    </r>
  </si>
  <si>
    <r>
      <rPr>
        <b/>
        <sz val="10"/>
        <rFont val="Book Antiqua"/>
        <family val="1"/>
      </rPr>
      <t>Esim 40mg Capsule</t>
    </r>
  </si>
  <si>
    <r>
      <rPr>
        <b/>
        <sz val="10"/>
        <rFont val="Book Antiqua"/>
        <family val="1"/>
      </rPr>
      <t>Flopadex 8mg Capsule</t>
    </r>
  </si>
  <si>
    <r>
      <rPr>
        <b/>
        <sz val="10"/>
        <rFont val="Book Antiqua"/>
        <family val="1"/>
      </rPr>
      <t>Silodosin</t>
    </r>
  </si>
  <si>
    <r>
      <rPr>
        <b/>
        <sz val="10"/>
        <rFont val="Book Antiqua"/>
        <family val="1"/>
      </rPr>
      <t>Gilpra 5mg Tablets</t>
    </r>
  </si>
  <si>
    <r>
      <rPr>
        <b/>
        <sz val="10"/>
        <rFont val="Book Antiqua"/>
        <family val="1"/>
      </rPr>
      <t>Desloratadine</t>
    </r>
  </si>
  <si>
    <r>
      <rPr>
        <b/>
        <sz val="10"/>
        <rFont val="Book Antiqua"/>
        <family val="1"/>
      </rPr>
      <t>Gilton 50mg Tablets</t>
    </r>
  </si>
  <si>
    <r>
      <rPr>
        <b/>
        <sz val="10"/>
        <rFont val="Book Antiqua"/>
        <family val="1"/>
      </rPr>
      <t>Itopride HCI</t>
    </r>
  </si>
  <si>
    <r>
      <rPr>
        <b/>
        <sz val="10"/>
        <rFont val="Book Antiqua"/>
        <family val="1"/>
      </rPr>
      <t>Giltum 1gm Injection</t>
    </r>
  </si>
  <si>
    <r>
      <rPr>
        <b/>
        <sz val="10"/>
        <rFont val="Book Antiqua"/>
        <family val="1"/>
      </rPr>
      <t>Cefoperazone + Sulbactum</t>
    </r>
  </si>
  <si>
    <r>
      <rPr>
        <b/>
        <sz val="10"/>
        <rFont val="Book Antiqua"/>
        <family val="1"/>
      </rPr>
      <t>Giltum 2gm Injection</t>
    </r>
  </si>
  <si>
    <r>
      <rPr>
        <b/>
        <sz val="10"/>
        <rFont val="Book Antiqua"/>
        <family val="1"/>
      </rPr>
      <t>Imectin 6mg Capsules</t>
    </r>
  </si>
  <si>
    <r>
      <rPr>
        <b/>
        <sz val="10"/>
        <rFont val="Book Antiqua"/>
        <family val="1"/>
      </rPr>
      <t>Ivermectin</t>
    </r>
  </si>
  <si>
    <r>
      <rPr>
        <b/>
        <sz val="10"/>
        <rFont val="Book Antiqua"/>
        <family val="1"/>
      </rPr>
      <t>Leutrazole 2.5mg Tablets</t>
    </r>
  </si>
  <si>
    <r>
      <rPr>
        <b/>
        <sz val="10"/>
        <rFont val="Book Antiqua"/>
        <family val="1"/>
      </rPr>
      <t>Letrozole</t>
    </r>
  </si>
  <si>
    <r>
      <rPr>
        <b/>
        <sz val="10"/>
        <rFont val="Book Antiqua"/>
        <family val="1"/>
      </rPr>
      <t>LinsoGil 600mg Tablets</t>
    </r>
  </si>
  <si>
    <r>
      <rPr>
        <b/>
        <sz val="10"/>
        <rFont val="Book Antiqua"/>
        <family val="1"/>
      </rPr>
      <t>Linezolid</t>
    </r>
  </si>
  <si>
    <r>
      <rPr>
        <b/>
        <sz val="10"/>
        <rFont val="Book Antiqua"/>
        <family val="1"/>
      </rPr>
      <t>Panem 40mg Capsule</t>
    </r>
  </si>
  <si>
    <r>
      <rPr>
        <b/>
        <sz val="10"/>
        <rFont val="Book Antiqua"/>
        <family val="1"/>
      </rPr>
      <t>Pantoprazole</t>
    </r>
  </si>
  <si>
    <r>
      <rPr>
        <b/>
        <sz val="10"/>
        <rFont val="Book Antiqua"/>
        <family val="1"/>
      </rPr>
      <t>Prefor 100mg Capsule</t>
    </r>
  </si>
  <si>
    <r>
      <rPr>
        <b/>
        <sz val="10"/>
        <rFont val="Book Antiqua"/>
        <family val="1"/>
      </rPr>
      <t>Pregabalin</t>
    </r>
  </si>
  <si>
    <r>
      <rPr>
        <b/>
        <sz val="10"/>
        <rFont val="Book Antiqua"/>
        <family val="1"/>
      </rPr>
      <t>Prefor 50mg Capsule</t>
    </r>
  </si>
  <si>
    <r>
      <rPr>
        <b/>
        <sz val="10"/>
        <rFont val="Book Antiqua"/>
        <family val="1"/>
      </rPr>
      <t>Prefor 75mg Capsule</t>
    </r>
  </si>
  <si>
    <r>
      <rPr>
        <b/>
        <sz val="10"/>
        <rFont val="Book Antiqua"/>
        <family val="1"/>
      </rPr>
      <t>Protisys 10mg Tablets</t>
    </r>
  </si>
  <si>
    <r>
      <rPr>
        <b/>
        <sz val="10"/>
        <rFont val="Book Antiqua"/>
        <family val="1"/>
      </rPr>
      <t>Vortioxetine…..10mg (Innovator’s specs.)</t>
    </r>
  </si>
  <si>
    <r>
      <rPr>
        <b/>
        <sz val="10"/>
        <rFont val="Book Antiqua"/>
        <family val="1"/>
      </rPr>
      <t>Protisys 20mg Tablets</t>
    </r>
  </si>
  <si>
    <r>
      <rPr>
        <b/>
        <sz val="10"/>
        <rFont val="Book Antiqua"/>
        <family val="1"/>
      </rPr>
      <t>Vortioxetine…..20mg (Innovator’s specs.)</t>
    </r>
  </si>
  <si>
    <r>
      <rPr>
        <b/>
        <sz val="10"/>
        <rFont val="Book Antiqua"/>
        <family val="1"/>
      </rPr>
      <t>Sulvop 25mg Tablets</t>
    </r>
  </si>
  <si>
    <r>
      <rPr>
        <b/>
        <sz val="10"/>
        <rFont val="Book Antiqua"/>
        <family val="1"/>
      </rPr>
      <t>Levosulpride</t>
    </r>
  </si>
  <si>
    <r>
      <rPr>
        <b/>
        <sz val="10"/>
        <rFont val="Book Antiqua"/>
        <family val="1"/>
      </rPr>
      <t>Sulvop 50mg Tablets</t>
    </r>
  </si>
  <si>
    <r>
      <rPr>
        <b/>
        <sz val="10"/>
        <rFont val="Book Antiqua"/>
        <family val="1"/>
      </rPr>
      <t>TimGin SR 0.4mg Capsule</t>
    </r>
  </si>
  <si>
    <r>
      <rPr>
        <b/>
        <sz val="10"/>
        <rFont val="Book Antiqua"/>
        <family val="1"/>
      </rPr>
      <t>Tamsulosin HCI</t>
    </r>
  </si>
  <si>
    <r>
      <rPr>
        <b/>
        <sz val="10"/>
        <rFont val="Book Antiqua"/>
        <family val="1"/>
      </rPr>
      <t>Tixvita 5mg Injection IM/IV/Oral</t>
    </r>
  </si>
  <si>
    <r>
      <rPr>
        <b/>
        <sz val="10"/>
        <rFont val="Book Antiqua"/>
        <family val="1"/>
      </rPr>
      <t>(Cholecalciferol) Vitamin D3</t>
    </r>
  </si>
  <si>
    <r>
      <rPr>
        <b/>
        <sz val="10"/>
        <rFont val="Book Antiqua"/>
        <family val="1"/>
      </rPr>
      <t>Xempra 20mg Capsules</t>
    </r>
  </si>
  <si>
    <r>
      <rPr>
        <b/>
        <sz val="10"/>
        <rFont val="Book Antiqua"/>
        <family val="1"/>
      </rPr>
      <t>Omeprazole (as enteric coated pellets)…20mg (USP Specs)</t>
    </r>
  </si>
  <si>
    <r>
      <rPr>
        <b/>
        <sz val="10"/>
        <rFont val="Book Antiqua"/>
        <family val="1"/>
      </rPr>
      <t>Xempra 40mg Capsules</t>
    </r>
  </si>
  <si>
    <r>
      <rPr>
        <b/>
        <sz val="10"/>
        <rFont val="Book Antiqua"/>
        <family val="1"/>
      </rPr>
      <t>Omeprazole (as enteric coated pellets)…40mg (USP Specs)</t>
    </r>
  </si>
  <si>
    <r>
      <rPr>
        <b/>
        <sz val="10"/>
        <rFont val="Book Antiqua"/>
        <family val="1"/>
      </rPr>
      <t>Zinom 15mg /25mg Tablet</t>
    </r>
  </si>
  <si>
    <r>
      <rPr>
        <b/>
        <sz val="10"/>
        <rFont val="Book Antiqua"/>
        <family val="1"/>
      </rPr>
      <t>Domperidone + Cinnarizine</t>
    </r>
  </si>
  <si>
    <r>
      <rPr>
        <b/>
        <sz val="10"/>
        <rFont val="Book Antiqua"/>
        <family val="1"/>
      </rPr>
      <t>Each 5ml contains:
Trachyspermum ammi                      16mg
Elettaria cardamomum                        3mg
Apium graveolens                                3mg
Cinnamomum zeylanicum                 15mg
Zingiber officinale                              3mg
Piper longum                                       3mg</t>
    </r>
  </si>
  <si>
    <r>
      <rPr>
        <b/>
        <sz val="10"/>
        <rFont val="Book Antiqua"/>
        <family val="1"/>
      </rPr>
      <t>Minfo Tablet</t>
    </r>
  </si>
  <si>
    <r>
      <rPr>
        <b/>
        <sz val="10"/>
        <rFont val="Book Antiqua"/>
        <family val="1"/>
      </rPr>
      <t>Each tablet contains:
Methylcobalamin                             25mcg
Alpha Lipoic Acid                          100mg
Folic Acid                                      300mcg
Magnesium                                     300mg</t>
    </r>
  </si>
  <si>
    <r>
      <rPr>
        <b/>
        <sz val="10"/>
        <rFont val="Book Antiqua"/>
        <family val="1"/>
      </rPr>
      <t>OWD 10ml Oral Drops</t>
    </r>
  </si>
  <si>
    <r>
      <rPr>
        <b/>
        <sz val="10"/>
        <rFont val="Book Antiqua"/>
        <family val="1"/>
      </rPr>
      <t>Each 1ml contains:
Cholecalciferol (Vitamin D3)            1000 IU</t>
    </r>
  </si>
  <si>
    <r>
      <rPr>
        <b/>
        <sz val="10"/>
        <rFont val="Book Antiqua"/>
        <family val="1"/>
      </rPr>
      <t>Glycardin 250mg Capsule</t>
    </r>
  </si>
  <si>
    <r>
      <rPr>
        <b/>
        <sz val="10"/>
        <rFont val="Book Antiqua"/>
        <family val="1"/>
      </rPr>
      <t>(Danshenform Comp.)
Salvia miltiorrhiza (UPS)             82.8%
Sanqi (PPRC)                              16.2%
Borneol (USP)                                 1%</t>
    </r>
  </si>
  <si>
    <r>
      <rPr>
        <b/>
        <sz val="10"/>
        <rFont val="Book Antiqua"/>
        <family val="1"/>
      </rPr>
      <t>Reperal Tablets</t>
    </r>
  </si>
  <si>
    <r>
      <rPr>
        <b/>
        <sz val="10"/>
        <rFont val="Book Antiqua"/>
        <family val="1"/>
      </rPr>
      <t>Each Tablet contains:
Amorphous Aescin</t>
    </r>
  </si>
  <si>
    <r>
      <rPr>
        <b/>
        <sz val="10"/>
        <rFont val="Book Antiqua"/>
        <family val="1"/>
      </rPr>
      <t>Viton Tablet</t>
    </r>
  </si>
  <si>
    <r>
      <rPr>
        <b/>
        <sz val="10"/>
        <rFont val="Book Antiqua"/>
        <family val="1"/>
      </rPr>
      <t>Each Tablet contains:
L-Methyl folate                     3mg
Pyridoxal 5 Phosphate ……35mg Cyanocobalamin                    2mg</t>
    </r>
  </si>
  <si>
    <r>
      <rPr>
        <b/>
        <sz val="10"/>
        <rFont val="Book Antiqua"/>
        <family val="1"/>
      </rPr>
      <t>XL-D
chewable Tab</t>
    </r>
  </si>
  <si>
    <r>
      <rPr>
        <b/>
        <sz val="10"/>
        <rFont val="Book Antiqua"/>
        <family val="1"/>
      </rPr>
      <t>Composition
Each Chewable Tablet Contains:
Cholecalciferol (USP) (Vitamin D3)              200,000IU
Vitamin K2 (MK-7)                                        75mcg</t>
    </r>
  </si>
  <si>
    <r>
      <rPr>
        <b/>
        <sz val="10"/>
        <rFont val="Book Antiqua"/>
        <family val="1"/>
      </rPr>
      <t>Relevum Tablets</t>
    </r>
  </si>
  <si>
    <r>
      <rPr>
        <b/>
        <sz val="10"/>
        <rFont val="Book Antiqua"/>
        <family val="1"/>
      </rPr>
      <t>Each Tablet contains:
Celadrin (MS)                                    350mg
Boswellia extract (MS)                      120mg
MSM (USP)                                       150mg
Turmeric Extract (MS)                       25mg
Boron as Sodium borate (USP)          2.25mg</t>
    </r>
  </si>
  <si>
    <r>
      <rPr>
        <b/>
        <sz val="10"/>
        <rFont val="Book Antiqua"/>
        <family val="1"/>
      </rPr>
      <t>Relevum Cream</t>
    </r>
  </si>
  <si>
    <r>
      <rPr>
        <b/>
        <sz val="10"/>
        <rFont val="Book Antiqua"/>
        <family val="1"/>
      </rPr>
      <t>Each 25g Contains:
Winter green oil (USP)                   12% w/w
Menthol (USP)                                1% w/w
Camphor (USP)                               3% w/w
Eucalyptus Oil (USP)                      1% w/w</t>
    </r>
  </si>
  <si>
    <r>
      <rPr>
        <b/>
        <sz val="10"/>
        <rFont val="Book Antiqua"/>
        <family val="1"/>
      </rPr>
      <t>INOFER
Tablets</t>
    </r>
  </si>
  <si>
    <r>
      <rPr>
        <b/>
        <sz val="10"/>
        <rFont val="Book Antiqua"/>
        <family val="1"/>
      </rPr>
      <t xml:space="preserve">Each tablet contains:
Ferrous Bisglycinate Chelate (USP)               158mg
</t>
    </r>
    <r>
      <rPr>
        <b/>
        <i/>
        <sz val="10"/>
        <rFont val="Book Antiqua"/>
        <family val="1"/>
      </rPr>
      <t xml:space="preserve">(Elemental Iron)
</t>
    </r>
    <r>
      <rPr>
        <b/>
        <sz val="10"/>
        <rFont val="Book Antiqua"/>
        <family val="1"/>
      </rPr>
      <t xml:space="preserve">L-Methyl Folate (USP)                                 100mcg
Vitamin C (USP)                                             250mg
Vitamin B12 (USP)                                       500mcg
Zinc Acetate                                                   33.4mg
</t>
    </r>
    <r>
      <rPr>
        <b/>
        <i/>
        <sz val="10"/>
        <rFont val="Book Antiqua"/>
        <family val="1"/>
      </rPr>
      <t>(Eq. Elemental Zinc 10mg)</t>
    </r>
  </si>
  <si>
    <r>
      <rPr>
        <b/>
        <sz val="10"/>
        <rFont val="Book Antiqua"/>
        <family val="1"/>
      </rPr>
      <t>MelNite Syrup</t>
    </r>
  </si>
  <si>
    <r>
      <rPr>
        <b/>
        <sz val="10"/>
        <rFont val="Book Antiqua"/>
        <family val="1"/>
      </rPr>
      <t>Each 5ml contains:
Melatonin</t>
    </r>
  </si>
  <si>
    <t>TP</t>
  </si>
  <si>
    <t>TP 15%</t>
  </si>
  <si>
    <t>Net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</si>
</sst>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
    <numFmt numFmtId="165" formatCode="_(* #,##0_);_(* \(#,##0\);_(* &quot;-&quot;??_);_(@_)"/>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Times New Roman"/>
      <family val="1"/>
    </font>
    <font>
      <b/>
      <i/>
      <u/>
      <sz val="26"/>
      <color rgb="FF000000"/>
      <name val="Book Antiqua"/>
      <family val="1"/>
    </font>
    <font>
      <b/>
      <sz val="10"/>
      <color rgb="FF000000"/>
      <name val="Book Antiqua"/>
      <family val="1"/>
    </font>
    <font>
      <b/>
      <sz val="16"/>
      <color rgb="FF006FC0"/>
      <name val="Book Antiqua"/>
      <family val="1"/>
    </font>
    <font>
      <b/>
      <sz val="11"/>
      <name val="Book Antiqua"/>
      <family val="1"/>
    </font>
    <font>
      <b/>
      <sz val="11"/>
      <color rgb="FF000000"/>
      <name val="Book Antiqua"/>
      <family val="1"/>
    </font>
    <font>
      <b/>
      <sz val="11"/>
      <color theme="1"/>
      <name val="Book Antiqua"/>
      <family val="1"/>
    </font>
    <font>
      <b/>
      <sz val="10"/>
      <name val="Book Antiqua"/>
      <family val="1"/>
    </font>
    <font>
      <b/>
      <sz val="10"/>
      <name val="Times New Roman"/>
      <family val="1"/>
    </font>
    <font>
      <b/>
      <sz val="10"/>
      <color rgb="FF000000"/>
      <name val="Times New Roman"/>
      <family val="2"/>
    </font>
    <font>
      <b/>
      <sz val="22"/>
      <color rgb="FF006FC0"/>
      <name val="Book Antiqua"/>
      <family val="1"/>
    </font>
    <font>
      <b/>
      <sz val="12"/>
      <name val="Book Antiqua"/>
      <family val="1"/>
    </font>
    <font>
      <b/>
      <i/>
      <sz val="10"/>
      <name val="Book Antiqua"/>
      <family val="1"/>
    </font>
    <font>
      <b/>
      <sz val="11"/>
      <color theme="1"/>
      <name val="Calibri"/>
      <family val="2"/>
    </font>
    <font>
      <b/>
      <sz val="10"/>
      <name val="Calibri"/>
      <family val="2"/>
    </font>
    <font>
      <b/>
      <sz val="12"/>
      <color rgb="FF000000"/>
      <name val="Book Antiqua"/>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s>
  <cellStyleXfs count="3">
    <xf numFmtId="0" fontId="0" fillId="0" borderId="0"/>
    <xf numFmtId="43" fontId="1" fillId="0" borderId="0" applyFont="0" applyFill="0" applyBorder="0" applyAlignment="0" applyProtection="0"/>
    <xf numFmtId="0" fontId="3" fillId="0" borderId="0"/>
  </cellStyleXfs>
  <cellXfs count="130">
    <xf numFmtId="0" fontId="0" fillId="0" borderId="0" xfId="0"/>
    <xf numFmtId="0" fontId="5" fillId="0" borderId="0" xfId="2" applyFont="1" applyAlignment="1">
      <alignment horizontal="center" vertical="center"/>
    </xf>
    <xf numFmtId="0" fontId="5" fillId="0" borderId="0" xfId="2" applyFont="1" applyAlignment="1">
      <alignment horizontal="left" vertical="top"/>
    </xf>
    <xf numFmtId="0" fontId="7" fillId="0" borderId="4" xfId="2" applyFont="1" applyBorder="1" applyAlignment="1">
      <alignment horizontal="center" vertical="center" wrapText="1"/>
    </xf>
    <xf numFmtId="43" fontId="7" fillId="0" borderId="5" xfId="1" applyFont="1" applyFill="1" applyBorder="1" applyAlignment="1">
      <alignment horizontal="right" vertical="center" wrapText="1"/>
    </xf>
    <xf numFmtId="0" fontId="8" fillId="0" borderId="0" xfId="2" applyFont="1" applyAlignment="1">
      <alignment horizontal="center" vertical="center" wrapText="1"/>
    </xf>
    <xf numFmtId="0" fontId="8" fillId="0" borderId="0" xfId="2" applyFont="1" applyAlignment="1">
      <alignment horizontal="left" vertical="center" wrapText="1"/>
    </xf>
    <xf numFmtId="164" fontId="5" fillId="0" borderId="6" xfId="2" applyNumberFormat="1" applyFont="1" applyBorder="1" applyAlignment="1">
      <alignment horizontal="center" vertical="center" shrinkToFit="1"/>
    </xf>
    <xf numFmtId="0" fontId="9" fillId="2" borderId="7" xfId="0" applyFont="1" applyFill="1" applyBorder="1" applyAlignment="1">
      <alignment vertical="center"/>
    </xf>
    <xf numFmtId="0" fontId="9" fillId="0" borderId="7" xfId="0" applyFont="1" applyBorder="1" applyAlignment="1">
      <alignment vertical="center"/>
    </xf>
    <xf numFmtId="0" fontId="10" fillId="0" borderId="7" xfId="2" applyFont="1" applyBorder="1" applyAlignment="1">
      <alignment horizontal="center" vertical="center" wrapText="1"/>
    </xf>
    <xf numFmtId="165" fontId="5" fillId="0" borderId="7" xfId="1" applyNumberFormat="1" applyFont="1" applyFill="1" applyBorder="1" applyAlignment="1">
      <alignment horizontal="center" vertical="center" shrinkToFit="1"/>
    </xf>
    <xf numFmtId="165" fontId="5" fillId="0" borderId="8" xfId="2" applyNumberFormat="1" applyFont="1" applyBorder="1" applyAlignment="1">
      <alignment horizontal="right" vertical="center"/>
    </xf>
    <xf numFmtId="164" fontId="5" fillId="0" borderId="9" xfId="2" applyNumberFormat="1" applyFont="1" applyBorder="1" applyAlignment="1">
      <alignment horizontal="center" vertical="center" shrinkToFit="1"/>
    </xf>
    <xf numFmtId="0" fontId="9" fillId="2" borderId="10" xfId="0" applyFont="1" applyFill="1" applyBorder="1" applyAlignment="1">
      <alignment vertical="center"/>
    </xf>
    <xf numFmtId="0" fontId="9" fillId="0" borderId="10" xfId="0" applyFont="1" applyBorder="1" applyAlignment="1">
      <alignment vertical="center"/>
    </xf>
    <xf numFmtId="0" fontId="10" fillId="0" borderId="10" xfId="2" applyFont="1" applyBorder="1" applyAlignment="1">
      <alignment horizontal="center" vertical="center" wrapText="1"/>
    </xf>
    <xf numFmtId="165" fontId="5" fillId="0" borderId="10" xfId="1" applyNumberFormat="1" applyFont="1" applyFill="1" applyBorder="1" applyAlignment="1">
      <alignment horizontal="center" vertical="center" shrinkToFit="1"/>
    </xf>
    <xf numFmtId="165" fontId="5" fillId="0" borderId="11" xfId="2" applyNumberFormat="1" applyFont="1" applyBorder="1" applyAlignment="1">
      <alignment horizontal="right" vertical="center"/>
    </xf>
    <xf numFmtId="0" fontId="10" fillId="2" borderId="10" xfId="0" applyFont="1" applyFill="1" applyBorder="1" applyAlignment="1">
      <alignment vertical="center"/>
    </xf>
    <xf numFmtId="165" fontId="5" fillId="0" borderId="10" xfId="1" applyNumberFormat="1" applyFont="1" applyFill="1" applyBorder="1" applyAlignment="1">
      <alignment horizontal="center" vertical="center"/>
    </xf>
    <xf numFmtId="165" fontId="5" fillId="0" borderId="11" xfId="1" applyNumberFormat="1" applyFont="1" applyFill="1" applyBorder="1" applyAlignment="1">
      <alignment horizontal="right" vertical="top"/>
    </xf>
    <xf numFmtId="165" fontId="5" fillId="0" borderId="11" xfId="1" applyNumberFormat="1" applyFont="1" applyFill="1" applyBorder="1" applyAlignment="1">
      <alignment horizontal="right" vertical="center"/>
    </xf>
    <xf numFmtId="0" fontId="11" fillId="0" borderId="10" xfId="0" applyFont="1" applyBorder="1" applyAlignment="1">
      <alignment horizontal="center" vertical="center" wrapText="1"/>
    </xf>
    <xf numFmtId="165" fontId="12" fillId="0" borderId="10" xfId="1" applyNumberFormat="1" applyFont="1" applyFill="1" applyBorder="1" applyAlignment="1">
      <alignment horizontal="center" vertical="center" shrinkToFit="1"/>
    </xf>
    <xf numFmtId="0" fontId="10" fillId="0" borderId="10" xfId="0" applyFont="1" applyBorder="1" applyAlignment="1">
      <alignment vertical="center"/>
    </xf>
    <xf numFmtId="0" fontId="9" fillId="2" borderId="10" xfId="0" applyFont="1" applyFill="1" applyBorder="1" applyAlignment="1">
      <alignment horizontal="left" vertical="center"/>
    </xf>
    <xf numFmtId="0" fontId="9" fillId="0" borderId="10" xfId="0" applyFont="1" applyBorder="1" applyAlignment="1">
      <alignment horizontal="left" vertical="center"/>
    </xf>
    <xf numFmtId="0" fontId="5" fillId="0" borderId="11" xfId="2" applyFont="1" applyBorder="1" applyAlignment="1">
      <alignment horizontal="right" vertical="top"/>
    </xf>
    <xf numFmtId="0" fontId="5" fillId="0" borderId="11" xfId="2" applyFont="1" applyBorder="1" applyAlignment="1">
      <alignment horizontal="right" vertical="center"/>
    </xf>
    <xf numFmtId="0" fontId="9" fillId="0" borderId="10" xfId="0" applyFont="1" applyBorder="1" applyAlignment="1">
      <alignment vertical="center" wrapText="1"/>
    </xf>
    <xf numFmtId="164" fontId="5" fillId="0" borderId="12" xfId="2" applyNumberFormat="1" applyFont="1" applyBorder="1" applyAlignment="1">
      <alignment horizontal="center" vertical="center" shrinkToFit="1"/>
    </xf>
    <xf numFmtId="0" fontId="9" fillId="2" borderId="13" xfId="0" applyFont="1" applyFill="1" applyBorder="1" applyAlignment="1">
      <alignment vertical="center"/>
    </xf>
    <xf numFmtId="0" fontId="9" fillId="0" borderId="13" xfId="0" applyFont="1" applyBorder="1" applyAlignment="1">
      <alignment vertical="center" wrapText="1"/>
    </xf>
    <xf numFmtId="0" fontId="11" fillId="0" borderId="13" xfId="0" applyFont="1" applyBorder="1" applyAlignment="1">
      <alignment horizontal="center" vertical="center" wrapText="1"/>
    </xf>
    <xf numFmtId="165" fontId="12" fillId="0" borderId="13" xfId="1" applyNumberFormat="1" applyFont="1" applyFill="1" applyBorder="1" applyAlignment="1">
      <alignment horizontal="center" vertical="center" shrinkToFit="1"/>
    </xf>
    <xf numFmtId="0" fontId="5" fillId="0" borderId="14" xfId="2" applyFont="1" applyBorder="1" applyAlignment="1">
      <alignment horizontal="right" vertical="top"/>
    </xf>
    <xf numFmtId="0" fontId="14" fillId="0" borderId="18" xfId="2" applyFont="1" applyBorder="1" applyAlignment="1">
      <alignment horizontal="center" vertical="center" wrapText="1"/>
    </xf>
    <xf numFmtId="0" fontId="14" fillId="0" borderId="19" xfId="2" applyFont="1" applyBorder="1" applyAlignment="1">
      <alignment horizontal="center" vertical="center" wrapText="1"/>
    </xf>
    <xf numFmtId="43" fontId="7" fillId="0" borderId="20" xfId="1" applyFont="1" applyFill="1" applyBorder="1" applyAlignment="1">
      <alignment horizontal="right" vertical="center" wrapText="1"/>
    </xf>
    <xf numFmtId="0" fontId="5" fillId="0" borderId="0" xfId="2" applyFont="1" applyAlignment="1">
      <alignment horizontal="center" vertical="center" wrapText="1"/>
    </xf>
    <xf numFmtId="0" fontId="5" fillId="0" borderId="0" xfId="2" applyFont="1" applyAlignment="1">
      <alignment horizontal="left" vertical="center" wrapText="1"/>
    </xf>
    <xf numFmtId="164" fontId="10" fillId="0" borderId="6" xfId="2" applyNumberFormat="1" applyFont="1" applyBorder="1" applyAlignment="1">
      <alignment horizontal="center" vertical="center" wrapText="1"/>
    </xf>
    <xf numFmtId="0" fontId="9" fillId="0" borderId="7" xfId="0" applyFont="1" applyBorder="1" applyAlignment="1">
      <alignment wrapText="1"/>
    </xf>
    <xf numFmtId="0" fontId="9" fillId="0" borderId="7" xfId="0" applyFont="1" applyBorder="1" applyAlignment="1">
      <alignment horizontal="center" vertical="center"/>
    </xf>
    <xf numFmtId="165" fontId="9" fillId="0" borderId="7" xfId="1" applyNumberFormat="1" applyFont="1" applyBorder="1" applyAlignment="1">
      <alignment horizontal="center" vertical="center"/>
    </xf>
    <xf numFmtId="165" fontId="5" fillId="0" borderId="7" xfId="1" applyNumberFormat="1" applyFont="1" applyFill="1" applyBorder="1" applyAlignment="1">
      <alignment horizontal="right" vertical="center"/>
    </xf>
    <xf numFmtId="164" fontId="10" fillId="0" borderId="9" xfId="2" applyNumberFormat="1" applyFont="1" applyBorder="1" applyAlignment="1">
      <alignment horizontal="center" vertical="center" wrapText="1"/>
    </xf>
    <xf numFmtId="0" fontId="9" fillId="0" borderId="10" xfId="0" applyFont="1" applyBorder="1" applyAlignment="1">
      <alignment wrapText="1"/>
    </xf>
    <xf numFmtId="0" fontId="9" fillId="0" borderId="10" xfId="0" applyFont="1" applyBorder="1" applyAlignment="1">
      <alignment horizontal="center" vertical="center"/>
    </xf>
    <xf numFmtId="165" fontId="9" fillId="0" borderId="10" xfId="1" applyNumberFormat="1" applyFont="1" applyBorder="1" applyAlignment="1">
      <alignment horizontal="center" vertical="center"/>
    </xf>
    <xf numFmtId="165" fontId="5" fillId="0" borderId="10" xfId="1" applyNumberFormat="1" applyFont="1" applyFill="1" applyBorder="1" applyAlignment="1">
      <alignment horizontal="right" vertical="center"/>
    </xf>
    <xf numFmtId="0" fontId="9" fillId="0" borderId="10" xfId="0" applyFont="1" applyBorder="1" applyAlignment="1">
      <alignment horizontal="center" vertical="center" wrapText="1"/>
    </xf>
    <xf numFmtId="0" fontId="9" fillId="0" borderId="10" xfId="0" applyFont="1" applyBorder="1"/>
    <xf numFmtId="0" fontId="9" fillId="0" borderId="21" xfId="0" applyFont="1" applyBorder="1" applyAlignment="1">
      <alignment horizontal="center" vertical="center" wrapText="1"/>
    </xf>
    <xf numFmtId="0" fontId="9" fillId="0" borderId="22" xfId="0" applyFont="1" applyBorder="1" applyAlignment="1">
      <alignment wrapText="1"/>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5" fillId="0" borderId="10" xfId="2" applyFont="1" applyBorder="1" applyAlignment="1">
      <alignment horizontal="left" vertical="top" wrapText="1"/>
    </xf>
    <xf numFmtId="165" fontId="5" fillId="0" borderId="10" xfId="2" applyNumberFormat="1" applyFont="1" applyBorder="1" applyAlignment="1">
      <alignment horizontal="right" vertical="center"/>
    </xf>
    <xf numFmtId="0" fontId="9" fillId="3" borderId="10" xfId="0" applyFont="1" applyFill="1" applyBorder="1" applyAlignment="1">
      <alignment vertical="center" wrapText="1"/>
    </xf>
    <xf numFmtId="0" fontId="10" fillId="0" borderId="10" xfId="2" applyFont="1" applyBorder="1" applyAlignment="1">
      <alignment horizontal="left" vertical="top" wrapText="1"/>
    </xf>
    <xf numFmtId="0" fontId="10" fillId="0" borderId="10" xfId="2" applyFont="1" applyBorder="1" applyAlignment="1">
      <alignment horizontal="left" vertical="top"/>
    </xf>
    <xf numFmtId="0" fontId="2" fillId="0" borderId="10" xfId="0" applyFont="1" applyBorder="1"/>
    <xf numFmtId="0" fontId="0" fillId="0" borderId="10" xfId="0" applyBorder="1"/>
    <xf numFmtId="0" fontId="16" fillId="0" borderId="10" xfId="0" applyFont="1" applyBorder="1" applyAlignment="1">
      <alignment vertical="center" wrapText="1"/>
    </xf>
    <xf numFmtId="0" fontId="17" fillId="0" borderId="10" xfId="2" applyFont="1" applyBorder="1" applyAlignment="1">
      <alignment horizontal="left" vertical="top" wrapText="1"/>
    </xf>
    <xf numFmtId="0" fontId="9" fillId="3" borderId="10" xfId="0" applyFont="1" applyFill="1" applyBorder="1" applyAlignment="1">
      <alignment vertical="center"/>
    </xf>
    <xf numFmtId="0" fontId="14" fillId="0" borderId="27" xfId="2" applyFont="1" applyBorder="1" applyAlignment="1">
      <alignment horizontal="center" vertical="center" wrapText="1"/>
    </xf>
    <xf numFmtId="0" fontId="14" fillId="0" borderId="28" xfId="2" applyFont="1" applyBorder="1" applyAlignment="1">
      <alignment horizontal="center" vertical="center" wrapText="1"/>
    </xf>
    <xf numFmtId="43" fontId="7" fillId="0" borderId="29" xfId="1" applyFont="1" applyFill="1" applyBorder="1" applyAlignment="1">
      <alignment horizontal="center" vertical="center" wrapText="1"/>
    </xf>
    <xf numFmtId="0" fontId="5" fillId="0" borderId="6" xfId="2" applyFont="1" applyBorder="1" applyAlignment="1">
      <alignment horizontal="center" vertical="center"/>
    </xf>
    <xf numFmtId="0" fontId="5" fillId="2" borderId="7" xfId="2" applyFont="1" applyFill="1" applyBorder="1" applyAlignment="1">
      <alignment horizontal="left" vertical="center"/>
    </xf>
    <xf numFmtId="0" fontId="5" fillId="0" borderId="7" xfId="2" applyFont="1" applyBorder="1" applyAlignment="1">
      <alignment horizontal="left" vertical="top" wrapText="1"/>
    </xf>
    <xf numFmtId="0" fontId="5" fillId="0" borderId="7" xfId="2" applyFont="1" applyBorder="1" applyAlignment="1">
      <alignment horizontal="center" vertical="center"/>
    </xf>
    <xf numFmtId="0" fontId="5" fillId="0" borderId="8" xfId="2" applyFont="1" applyBorder="1" applyAlignment="1">
      <alignment horizontal="right" vertical="center"/>
    </xf>
    <xf numFmtId="0" fontId="5" fillId="0" borderId="9" xfId="2" applyFont="1" applyBorder="1" applyAlignment="1">
      <alignment horizontal="center" vertical="center"/>
    </xf>
    <xf numFmtId="0" fontId="5" fillId="2" borderId="10" xfId="2" applyFont="1" applyFill="1" applyBorder="1" applyAlignment="1">
      <alignment horizontal="left" vertical="center"/>
    </xf>
    <xf numFmtId="0" fontId="5" fillId="0" borderId="10" xfId="2" applyFont="1" applyBorder="1" applyAlignment="1">
      <alignment horizontal="center" vertical="center"/>
    </xf>
    <xf numFmtId="0" fontId="5" fillId="0" borderId="30" xfId="2" applyFont="1" applyBorder="1" applyAlignment="1">
      <alignment horizontal="center" vertical="center"/>
    </xf>
    <xf numFmtId="0" fontId="5" fillId="0" borderId="31" xfId="2" applyFont="1" applyBorder="1" applyAlignment="1">
      <alignment horizontal="center" vertical="center"/>
    </xf>
    <xf numFmtId="0" fontId="5" fillId="2" borderId="13" xfId="2" applyFont="1" applyFill="1" applyBorder="1" applyAlignment="1">
      <alignment horizontal="left" vertical="center" wrapText="1"/>
    </xf>
    <xf numFmtId="0" fontId="5" fillId="0" borderId="13" xfId="2" applyFont="1" applyBorder="1" applyAlignment="1">
      <alignment horizontal="left" vertical="top" wrapText="1"/>
    </xf>
    <xf numFmtId="0" fontId="5" fillId="0" borderId="13" xfId="2" applyFont="1" applyBorder="1" applyAlignment="1">
      <alignment horizontal="center" vertical="center"/>
    </xf>
    <xf numFmtId="0" fontId="5" fillId="0" borderId="14" xfId="2" applyFont="1" applyBorder="1" applyAlignment="1">
      <alignment horizontal="right" vertical="center"/>
    </xf>
    <xf numFmtId="0" fontId="5" fillId="0" borderId="7" xfId="2" applyFont="1" applyBorder="1" applyAlignment="1">
      <alignment horizontal="left" vertical="top"/>
    </xf>
    <xf numFmtId="0" fontId="5" fillId="0" borderId="10" xfId="2" applyFont="1" applyBorder="1" applyAlignment="1">
      <alignment horizontal="left" vertical="center" wrapText="1"/>
    </xf>
    <xf numFmtId="0" fontId="2" fillId="2" borderId="0" xfId="0" applyFont="1" applyFill="1"/>
    <xf numFmtId="0" fontId="5" fillId="0" borderId="10" xfId="2" applyFont="1" applyBorder="1" applyAlignment="1">
      <alignment horizontal="left" vertical="top"/>
    </xf>
    <xf numFmtId="0" fontId="5" fillId="2" borderId="13" xfId="2" applyFont="1" applyFill="1" applyBorder="1" applyAlignment="1">
      <alignment horizontal="left" vertical="center"/>
    </xf>
    <xf numFmtId="0" fontId="5" fillId="0" borderId="0" xfId="2" applyFont="1" applyAlignment="1">
      <alignment horizontal="left" vertical="center"/>
    </xf>
    <xf numFmtId="0" fontId="5" fillId="0" borderId="0" xfId="2" applyFont="1" applyAlignment="1">
      <alignment horizontal="right" vertical="top"/>
    </xf>
    <xf numFmtId="0" fontId="18" fillId="0" borderId="0" xfId="2" applyFont="1" applyAlignment="1">
      <alignment horizontal="left" vertical="top"/>
    </xf>
    <xf numFmtId="0" fontId="18" fillId="0" borderId="0" xfId="2" applyFont="1" applyAlignment="1">
      <alignment horizontal="left" vertical="center"/>
    </xf>
    <xf numFmtId="0" fontId="18" fillId="0" borderId="0" xfId="2" applyFont="1" applyAlignment="1">
      <alignment horizontal="center" vertical="center"/>
    </xf>
    <xf numFmtId="0" fontId="18" fillId="0" borderId="0" xfId="2" applyFont="1" applyAlignment="1">
      <alignment horizontal="right" vertical="top"/>
    </xf>
    <xf numFmtId="0" fontId="5" fillId="0" borderId="0" xfId="2" applyFont="1" applyAlignment="1">
      <alignment horizontal="right" vertical="center"/>
    </xf>
    <xf numFmtId="0" fontId="13" fillId="0" borderId="1" xfId="2" applyFont="1" applyBorder="1" applyAlignment="1">
      <alignment horizontal="center" vertical="center" wrapText="1"/>
    </xf>
    <xf numFmtId="0" fontId="13" fillId="0" borderId="2" xfId="2" applyFont="1" applyBorder="1" applyAlignment="1">
      <alignment horizontal="center" vertical="center" wrapText="1"/>
    </xf>
    <xf numFmtId="0" fontId="13" fillId="0" borderId="3" xfId="2" applyFont="1" applyBorder="1" applyAlignment="1">
      <alignment horizontal="center" vertical="center" wrapText="1"/>
    </xf>
    <xf numFmtId="165" fontId="5" fillId="0" borderId="10" xfId="2" applyNumberFormat="1" applyFont="1" applyBorder="1" applyAlignment="1">
      <alignment horizontal="right" vertical="center"/>
    </xf>
    <xf numFmtId="164" fontId="10" fillId="0" borderId="9" xfId="2" applyNumberFormat="1" applyFont="1" applyBorder="1" applyAlignment="1">
      <alignment horizontal="center" vertical="center" wrapText="1"/>
    </xf>
    <xf numFmtId="164" fontId="10" fillId="0" borderId="12" xfId="2" applyNumberFormat="1" applyFont="1" applyBorder="1" applyAlignment="1">
      <alignment horizontal="center" vertical="center" wrapText="1"/>
    </xf>
    <xf numFmtId="0" fontId="16" fillId="0" borderId="10" xfId="0" applyFont="1" applyBorder="1" applyAlignment="1">
      <alignment horizontal="left" vertical="center" wrapText="1"/>
    </xf>
    <xf numFmtId="0" fontId="16" fillId="0" borderId="13" xfId="0" applyFont="1" applyBorder="1" applyAlignment="1">
      <alignment horizontal="left" vertical="center" wrapText="1"/>
    </xf>
    <xf numFmtId="0" fontId="10" fillId="0" borderId="10" xfId="2" applyFont="1" applyBorder="1" applyAlignment="1">
      <alignment horizontal="left" vertical="top" wrapText="1"/>
    </xf>
    <xf numFmtId="0" fontId="10" fillId="0" borderId="13" xfId="2" applyFont="1" applyBorder="1" applyAlignment="1">
      <alignment horizontal="left" vertical="top" wrapText="1"/>
    </xf>
    <xf numFmtId="0" fontId="10" fillId="0" borderId="10"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21" xfId="2" applyFont="1" applyBorder="1" applyAlignment="1">
      <alignment horizontal="center" vertical="center" wrapText="1"/>
    </xf>
    <xf numFmtId="0" fontId="10" fillId="0" borderId="25" xfId="2" applyFont="1" applyBorder="1" applyAlignment="1">
      <alignment horizontal="center" vertical="center" wrapText="1"/>
    </xf>
    <xf numFmtId="0" fontId="10" fillId="0" borderId="26" xfId="2" applyFont="1" applyBorder="1" applyAlignment="1">
      <alignment horizontal="center" vertical="center" wrapText="1"/>
    </xf>
    <xf numFmtId="0" fontId="10" fillId="0" borderId="10" xfId="2" applyFont="1" applyBorder="1" applyAlignment="1">
      <alignment horizontal="right" vertical="center" wrapText="1"/>
    </xf>
    <xf numFmtId="0" fontId="10" fillId="0" borderId="13" xfId="2" applyFont="1" applyBorder="1" applyAlignment="1">
      <alignment horizontal="right" vertical="center" wrapText="1"/>
    </xf>
    <xf numFmtId="0" fontId="9" fillId="0" borderId="10" xfId="0" applyFont="1" applyBorder="1" applyAlignment="1">
      <alignment horizontal="left" vertical="center" wrapText="1"/>
    </xf>
    <xf numFmtId="0" fontId="10" fillId="0" borderId="24" xfId="2" applyFont="1" applyBorder="1" applyAlignment="1">
      <alignment horizontal="center" vertical="center" wrapText="1"/>
    </xf>
    <xf numFmtId="165" fontId="5" fillId="0" borderId="10" xfId="1" applyNumberFormat="1" applyFont="1" applyFill="1" applyBorder="1" applyAlignment="1">
      <alignment horizontal="center" vertical="center" shrinkToFit="1"/>
    </xf>
    <xf numFmtId="0" fontId="2" fillId="0" borderId="10" xfId="0" applyFont="1" applyBorder="1" applyAlignment="1">
      <alignment horizontal="left" vertical="center"/>
    </xf>
    <xf numFmtId="0" fontId="10" fillId="0" borderId="10" xfId="2" applyFont="1" applyBorder="1" applyAlignment="1">
      <alignment vertical="top" wrapText="1"/>
    </xf>
    <xf numFmtId="0" fontId="4" fillId="0" borderId="1" xfId="2" applyFont="1" applyBorder="1" applyAlignment="1">
      <alignment horizontal="center" vertical="center"/>
    </xf>
    <xf numFmtId="0" fontId="4" fillId="0" borderId="2" xfId="2" applyFont="1" applyBorder="1" applyAlignment="1">
      <alignment horizontal="center" vertical="center"/>
    </xf>
    <xf numFmtId="0" fontId="4" fillId="0" borderId="3" xfId="2" applyFont="1" applyBorder="1" applyAlignment="1">
      <alignment horizontal="center" vertical="center"/>
    </xf>
    <xf numFmtId="0" fontId="6" fillId="0" borderId="1" xfId="2" applyFont="1" applyBorder="1" applyAlignment="1">
      <alignment horizontal="center" vertical="top" wrapText="1"/>
    </xf>
    <xf numFmtId="0" fontId="6" fillId="0" borderId="2" xfId="2" applyFont="1" applyBorder="1" applyAlignment="1">
      <alignment horizontal="center" vertical="top" wrapText="1"/>
    </xf>
    <xf numFmtId="0" fontId="6" fillId="0" borderId="3" xfId="2" applyFont="1" applyBorder="1" applyAlignment="1">
      <alignment horizontal="center" vertical="top" wrapText="1"/>
    </xf>
    <xf numFmtId="0" fontId="13" fillId="0" borderId="15" xfId="2" applyFont="1" applyBorder="1" applyAlignment="1">
      <alignment horizontal="center" vertical="center" wrapText="1"/>
    </xf>
    <xf numFmtId="0" fontId="13" fillId="0" borderId="16" xfId="2" applyFont="1" applyBorder="1" applyAlignment="1">
      <alignment horizontal="center" vertical="center" wrapText="1"/>
    </xf>
    <xf numFmtId="0" fontId="13" fillId="0" borderId="17" xfId="2" applyFont="1" applyBorder="1" applyAlignment="1">
      <alignment horizontal="center" vertical="center" wrapText="1"/>
    </xf>
    <xf numFmtId="165" fontId="5" fillId="0" borderId="0" xfId="2" applyNumberFormat="1" applyFont="1" applyAlignment="1">
      <alignment horizontal="center" vertical="center"/>
    </xf>
    <xf numFmtId="165" fontId="5" fillId="0" borderId="0" xfId="2" applyNumberFormat="1" applyFont="1" applyAlignment="1">
      <alignment horizontal="left" vertical="top"/>
    </xf>
  </cellXfs>
  <cellStyles count="3">
    <cellStyle name="Comma" xfId="1" builtinId="3"/>
    <cellStyle name="Normal" xfId="0" builtinId="0"/>
    <cellStyle name="Normal 3" xfId="2" xr:uid="{00000000-0005-0000-0000-000002000000}"/>
  </cellStyles>
  <dxfs count="1">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114301</xdr:colOff>
      <xdr:row>0</xdr:row>
      <xdr:rowOff>79376</xdr:rowOff>
    </xdr:from>
    <xdr:to>
      <xdr:col>1</xdr:col>
      <xdr:colOff>759402</xdr:colOff>
      <xdr:row>0</xdr:row>
      <xdr:rowOff>742950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114301" y="79376"/>
          <a:ext cx="1130876" cy="663574"/>
        </a:xfrm>
        <a:prstGeom prst="rect">
          <a:avLst/>
        </a:prstGeom>
        <a:noFill/>
        <a:ln w="9525">
          <a:noFill/>
          <a:miter lim="800000"/>
          <a:headEnd/>
          <a:tailEnd/>
        </a:ln>
      </xdr:spPr>
    </xdr:pic>
    <xdr:clientData/>
  </xdr:twoCellAnchor>
  <xdr:twoCellAnchor editAs="oneCell">
    <xdr:from>
      <xdr:col>0</xdr:col>
      <xdr:colOff>142875</xdr:colOff>
      <xdr:row>113</xdr:row>
      <xdr:rowOff>104776</xdr:rowOff>
    </xdr:from>
    <xdr:to>
      <xdr:col>1</xdr:col>
      <xdr:colOff>781050</xdr:colOff>
      <xdr:row>114</xdr:row>
      <xdr:rowOff>257175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142875" y="23193376"/>
          <a:ext cx="1123950" cy="514349"/>
        </a:xfrm>
        <a:prstGeom prst="rect">
          <a:avLst/>
        </a:prstGeom>
        <a:noFill/>
        <a:ln w="9525">
          <a:noFill/>
          <a:miter lim="800000"/>
          <a:headEnd/>
          <a:tailEnd/>
        </a:ln>
      </xdr:spPr>
    </xdr:pic>
    <xdr:clientData/>
  </xdr:twoCellAnchor>
  <xdr:oneCellAnchor>
    <xdr:from>
      <xdr:col>0</xdr:col>
      <xdr:colOff>238125</xdr:colOff>
      <xdr:row>181</xdr:row>
      <xdr:rowOff>47625</xdr:rowOff>
    </xdr:from>
    <xdr:ext cx="1125682" cy="644236"/>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srcRect/>
        <a:stretch>
          <a:fillRect/>
        </a:stretch>
      </xdr:blipFill>
      <xdr:spPr bwMode="auto">
        <a:xfrm>
          <a:off x="238125" y="48282225"/>
          <a:ext cx="1125682" cy="644236"/>
        </a:xfrm>
        <a:prstGeom prst="rect">
          <a:avLst/>
        </a:prstGeom>
        <a:noFill/>
        <a:ln w="9525">
          <a:noFill/>
          <a:miter lim="800000"/>
          <a:headEnd/>
          <a:tailEnd/>
        </a:ln>
      </xdr:spPr>
    </xdr:pic>
    <xdr:clientData/>
  </xdr:oneCellAnchor>
  <xdr:oneCellAnchor>
    <xdr:from>
      <xdr:col>0</xdr:col>
      <xdr:colOff>152400</xdr:colOff>
      <xdr:row>187</xdr:row>
      <xdr:rowOff>104775</xdr:rowOff>
    </xdr:from>
    <xdr:ext cx="1125682" cy="644236"/>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srcRect/>
        <a:stretch>
          <a:fillRect/>
        </a:stretch>
      </xdr:blipFill>
      <xdr:spPr bwMode="auto">
        <a:xfrm>
          <a:off x="152400" y="55635525"/>
          <a:ext cx="1125682" cy="644236"/>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8"/>
  <sheetViews>
    <sheetView tabSelected="1" workbookViewId="0">
      <selection activeCell="K4" sqref="K4"/>
    </sheetView>
  </sheetViews>
  <sheetFormatPr defaultRowHeight="15" x14ac:dyDescent="0.25"/>
  <cols>
    <col min="1" max="1" width="7.28515625" style="1" customWidth="1"/>
    <col min="2" max="2" width="31" style="2" customWidth="1"/>
    <col min="3" max="3" width="41.140625" style="2" customWidth="1"/>
    <col min="4" max="5" width="9.85546875" style="90" customWidth="1"/>
    <col min="6" max="6" width="13.28515625" style="1" customWidth="1"/>
    <col min="7" max="7" width="11.28515625" style="96" customWidth="1"/>
    <col min="8" max="8" width="13.85546875" style="1" customWidth="1"/>
    <col min="9" max="16384" width="9.140625" style="2"/>
  </cols>
  <sheetData>
    <row r="1" spans="1:11" ht="69" customHeight="1" thickBot="1" x14ac:dyDescent="0.3">
      <c r="A1" s="119" t="s">
        <v>0</v>
      </c>
      <c r="B1" s="120"/>
      <c r="C1" s="120"/>
      <c r="D1" s="120"/>
      <c r="E1" s="120"/>
      <c r="F1" s="120"/>
      <c r="G1" s="121"/>
    </row>
    <row r="2" spans="1:11" ht="21" thickBot="1" x14ac:dyDescent="0.3">
      <c r="A2" s="122" t="s">
        <v>1</v>
      </c>
      <c r="B2" s="123"/>
      <c r="C2" s="123"/>
      <c r="D2" s="123"/>
      <c r="E2" s="123"/>
      <c r="F2" s="123"/>
      <c r="G2" s="124"/>
    </row>
    <row r="3" spans="1:11" s="6" customFormat="1" ht="30.75" thickBot="1" x14ac:dyDescent="0.3">
      <c r="A3" s="3" t="s">
        <v>2</v>
      </c>
      <c r="B3" s="3" t="s">
        <v>3</v>
      </c>
      <c r="C3" s="3" t="s">
        <v>4</v>
      </c>
      <c r="D3" s="3" t="s">
        <v>5</v>
      </c>
      <c r="E3" s="3" t="s">
        <v>6</v>
      </c>
      <c r="F3" s="3" t="s">
        <v>7</v>
      </c>
      <c r="G3" s="4" t="s">
        <v>8</v>
      </c>
      <c r="H3" s="5"/>
      <c r="I3" s="5" t="s">
        <v>370</v>
      </c>
      <c r="J3" s="6" t="s">
        <v>369</v>
      </c>
      <c r="K3" s="6" t="s">
        <v>371</v>
      </c>
    </row>
    <row r="4" spans="1:11" x14ac:dyDescent="0.25">
      <c r="A4" s="7">
        <v>1</v>
      </c>
      <c r="B4" s="8" t="s">
        <v>9</v>
      </c>
      <c r="C4" s="9" t="s">
        <v>10</v>
      </c>
      <c r="D4" s="10" t="s">
        <v>11</v>
      </c>
      <c r="E4" s="10">
        <v>136</v>
      </c>
      <c r="F4" s="11">
        <v>2200</v>
      </c>
      <c r="G4" s="12">
        <v>530</v>
      </c>
      <c r="I4" s="128">
        <f>+(F4*0.15)</f>
        <v>330</v>
      </c>
      <c r="J4" s="129">
        <f>+F4-G4</f>
        <v>1670</v>
      </c>
      <c r="K4" s="129">
        <f>+F4-J4</f>
        <v>530</v>
      </c>
    </row>
    <row r="5" spans="1:11" x14ac:dyDescent="0.25">
      <c r="A5" s="13">
        <v>2</v>
      </c>
      <c r="B5" s="14" t="s">
        <v>300</v>
      </c>
      <c r="C5" s="15" t="s">
        <v>301</v>
      </c>
      <c r="D5" s="16" t="s">
        <v>12</v>
      </c>
      <c r="E5" s="16">
        <v>230</v>
      </c>
      <c r="F5" s="17">
        <v>298</v>
      </c>
      <c r="G5" s="18">
        <v>125</v>
      </c>
      <c r="I5" s="128">
        <f t="shared" ref="I5:I68" si="0">+(F5*0.15)</f>
        <v>44.699999999999996</v>
      </c>
      <c r="J5" s="129">
        <f t="shared" ref="J5:J68" si="1">+F5-G5</f>
        <v>173</v>
      </c>
      <c r="K5" s="129">
        <f t="shared" ref="K5:K68" si="2">+F5-J5</f>
        <v>125</v>
      </c>
    </row>
    <row r="6" spans="1:11" x14ac:dyDescent="0.25">
      <c r="A6" s="13">
        <v>3</v>
      </c>
      <c r="B6" s="19" t="s">
        <v>13</v>
      </c>
      <c r="C6" s="15" t="s">
        <v>301</v>
      </c>
      <c r="D6" s="16" t="s">
        <v>12</v>
      </c>
      <c r="E6" s="16">
        <v>230</v>
      </c>
      <c r="F6" s="17">
        <v>203</v>
      </c>
      <c r="G6" s="18">
        <v>102</v>
      </c>
      <c r="I6" s="128">
        <f t="shared" si="0"/>
        <v>30.45</v>
      </c>
      <c r="J6" s="129">
        <f t="shared" si="1"/>
        <v>101</v>
      </c>
      <c r="K6" s="129">
        <f t="shared" si="2"/>
        <v>102</v>
      </c>
    </row>
    <row r="7" spans="1:11" x14ac:dyDescent="0.25">
      <c r="A7" s="13">
        <v>4</v>
      </c>
      <c r="B7" s="14" t="s">
        <v>14</v>
      </c>
      <c r="C7" s="15" t="s">
        <v>302</v>
      </c>
      <c r="D7" s="16" t="s">
        <v>15</v>
      </c>
      <c r="E7" s="16">
        <v>147</v>
      </c>
      <c r="F7" s="20">
        <v>480</v>
      </c>
      <c r="G7" s="21">
        <v>130</v>
      </c>
      <c r="I7" s="128">
        <f t="shared" si="0"/>
        <v>72</v>
      </c>
      <c r="J7" s="129">
        <f t="shared" si="1"/>
        <v>350</v>
      </c>
      <c r="K7" s="129">
        <f t="shared" si="2"/>
        <v>130</v>
      </c>
    </row>
    <row r="8" spans="1:11" x14ac:dyDescent="0.25">
      <c r="A8" s="13">
        <v>5</v>
      </c>
      <c r="B8" s="14" t="s">
        <v>303</v>
      </c>
      <c r="C8" s="15" t="s">
        <v>304</v>
      </c>
      <c r="D8" s="16" t="s">
        <v>11</v>
      </c>
      <c r="E8" s="16">
        <v>204</v>
      </c>
      <c r="F8" s="17">
        <v>720</v>
      </c>
      <c r="G8" s="22">
        <v>245</v>
      </c>
      <c r="I8" s="128">
        <f t="shared" si="0"/>
        <v>108</v>
      </c>
      <c r="J8" s="129">
        <f t="shared" si="1"/>
        <v>475</v>
      </c>
      <c r="K8" s="129">
        <f t="shared" si="2"/>
        <v>245</v>
      </c>
    </row>
    <row r="9" spans="1:11" x14ac:dyDescent="0.25">
      <c r="A9" s="13">
        <v>6</v>
      </c>
      <c r="B9" s="14" t="s">
        <v>16</v>
      </c>
      <c r="C9" s="15" t="s">
        <v>17</v>
      </c>
      <c r="D9" s="16" t="s">
        <v>11</v>
      </c>
      <c r="E9" s="16">
        <v>232</v>
      </c>
      <c r="F9" s="17">
        <v>450</v>
      </c>
      <c r="G9" s="22">
        <v>240</v>
      </c>
      <c r="I9" s="128">
        <f t="shared" si="0"/>
        <v>67.5</v>
      </c>
      <c r="J9" s="129">
        <f t="shared" si="1"/>
        <v>210</v>
      </c>
      <c r="K9" s="129">
        <f t="shared" si="2"/>
        <v>240</v>
      </c>
    </row>
    <row r="10" spans="1:11" x14ac:dyDescent="0.25">
      <c r="A10" s="13">
        <v>7</v>
      </c>
      <c r="B10" s="14" t="s">
        <v>18</v>
      </c>
      <c r="C10" s="15" t="s">
        <v>17</v>
      </c>
      <c r="D10" s="16" t="s">
        <v>11</v>
      </c>
      <c r="E10" s="16">
        <v>232</v>
      </c>
      <c r="F10" s="17">
        <v>750</v>
      </c>
      <c r="G10" s="18">
        <v>290</v>
      </c>
      <c r="I10" s="128">
        <f t="shared" si="0"/>
        <v>112.5</v>
      </c>
      <c r="J10" s="129">
        <f t="shared" si="1"/>
        <v>460</v>
      </c>
      <c r="K10" s="129">
        <f t="shared" si="2"/>
        <v>290</v>
      </c>
    </row>
    <row r="11" spans="1:11" x14ac:dyDescent="0.25">
      <c r="A11" s="13">
        <v>8</v>
      </c>
      <c r="B11" s="14" t="s">
        <v>305</v>
      </c>
      <c r="C11" s="15" t="s">
        <v>306</v>
      </c>
      <c r="D11" s="23" t="s">
        <v>19</v>
      </c>
      <c r="E11" s="23">
        <v>330</v>
      </c>
      <c r="F11" s="24">
        <v>330</v>
      </c>
      <c r="G11" s="21">
        <v>85</v>
      </c>
      <c r="I11" s="128">
        <f t="shared" si="0"/>
        <v>49.5</v>
      </c>
      <c r="J11" s="129">
        <f t="shared" si="1"/>
        <v>245</v>
      </c>
      <c r="K11" s="129">
        <f t="shared" si="2"/>
        <v>85</v>
      </c>
    </row>
    <row r="12" spans="1:11" x14ac:dyDescent="0.25">
      <c r="A12" s="13">
        <v>9</v>
      </c>
      <c r="B12" s="14" t="s">
        <v>307</v>
      </c>
      <c r="C12" s="15" t="s">
        <v>308</v>
      </c>
      <c r="D12" s="23" t="s">
        <v>20</v>
      </c>
      <c r="E12" s="23">
        <v>240</v>
      </c>
      <c r="F12" s="24">
        <v>630</v>
      </c>
      <c r="G12" s="21">
        <v>165</v>
      </c>
      <c r="I12" s="128">
        <f t="shared" si="0"/>
        <v>94.5</v>
      </c>
      <c r="J12" s="129">
        <f t="shared" si="1"/>
        <v>465</v>
      </c>
      <c r="K12" s="129">
        <f t="shared" si="2"/>
        <v>165</v>
      </c>
    </row>
    <row r="13" spans="1:11" x14ac:dyDescent="0.25">
      <c r="A13" s="13">
        <v>10</v>
      </c>
      <c r="B13" s="19" t="s">
        <v>21</v>
      </c>
      <c r="C13" s="25" t="s">
        <v>22</v>
      </c>
      <c r="D13" s="23" t="s">
        <v>23</v>
      </c>
      <c r="E13" s="23">
        <v>230</v>
      </c>
      <c r="F13" s="24">
        <v>290</v>
      </c>
      <c r="G13" s="21">
        <v>100</v>
      </c>
      <c r="I13" s="128">
        <f t="shared" si="0"/>
        <v>43.5</v>
      </c>
      <c r="J13" s="129">
        <f t="shared" si="1"/>
        <v>190</v>
      </c>
      <c r="K13" s="129">
        <f t="shared" si="2"/>
        <v>100</v>
      </c>
    </row>
    <row r="14" spans="1:11" x14ac:dyDescent="0.25">
      <c r="A14" s="13">
        <v>11</v>
      </c>
      <c r="B14" s="14" t="s">
        <v>309</v>
      </c>
      <c r="C14" s="25" t="s">
        <v>22</v>
      </c>
      <c r="D14" s="23" t="s">
        <v>23</v>
      </c>
      <c r="E14" s="23">
        <v>230</v>
      </c>
      <c r="F14" s="24">
        <v>430</v>
      </c>
      <c r="G14" s="21">
        <v>122</v>
      </c>
      <c r="I14" s="128">
        <f t="shared" si="0"/>
        <v>64.5</v>
      </c>
      <c r="J14" s="129">
        <f t="shared" si="1"/>
        <v>308</v>
      </c>
      <c r="K14" s="129">
        <f t="shared" si="2"/>
        <v>122</v>
      </c>
    </row>
    <row r="15" spans="1:11" x14ac:dyDescent="0.25">
      <c r="A15" s="13">
        <v>12</v>
      </c>
      <c r="B15" s="19" t="s">
        <v>21</v>
      </c>
      <c r="C15" s="25" t="s">
        <v>22</v>
      </c>
      <c r="D15" s="23" t="s">
        <v>20</v>
      </c>
      <c r="E15" s="23">
        <v>204</v>
      </c>
      <c r="F15" s="24">
        <v>540</v>
      </c>
      <c r="G15" s="21">
        <v>200</v>
      </c>
      <c r="I15" s="128">
        <f t="shared" si="0"/>
        <v>81</v>
      </c>
      <c r="J15" s="129">
        <f t="shared" si="1"/>
        <v>340</v>
      </c>
      <c r="K15" s="129">
        <f t="shared" si="2"/>
        <v>200</v>
      </c>
    </row>
    <row r="16" spans="1:11" x14ac:dyDescent="0.25">
      <c r="A16" s="13">
        <v>13</v>
      </c>
      <c r="B16" s="14" t="s">
        <v>309</v>
      </c>
      <c r="C16" s="25" t="s">
        <v>22</v>
      </c>
      <c r="D16" s="23" t="s">
        <v>20</v>
      </c>
      <c r="E16" s="23">
        <v>204</v>
      </c>
      <c r="F16" s="24">
        <v>850</v>
      </c>
      <c r="G16" s="18">
        <v>260</v>
      </c>
      <c r="I16" s="128">
        <f t="shared" si="0"/>
        <v>127.5</v>
      </c>
      <c r="J16" s="129">
        <f t="shared" si="1"/>
        <v>590</v>
      </c>
      <c r="K16" s="129">
        <f t="shared" si="2"/>
        <v>260</v>
      </c>
    </row>
    <row r="17" spans="1:11" x14ac:dyDescent="0.25">
      <c r="A17" s="13">
        <v>14</v>
      </c>
      <c r="B17" s="14" t="s">
        <v>310</v>
      </c>
      <c r="C17" s="15" t="s">
        <v>311</v>
      </c>
      <c r="D17" s="23" t="s">
        <v>24</v>
      </c>
      <c r="E17" s="23">
        <v>258</v>
      </c>
      <c r="F17" s="24">
        <v>680</v>
      </c>
      <c r="G17" s="21">
        <v>220</v>
      </c>
      <c r="I17" s="128">
        <f t="shared" si="0"/>
        <v>102</v>
      </c>
      <c r="J17" s="129">
        <f t="shared" si="1"/>
        <v>460</v>
      </c>
      <c r="K17" s="129">
        <f t="shared" si="2"/>
        <v>220</v>
      </c>
    </row>
    <row r="18" spans="1:11" x14ac:dyDescent="0.25">
      <c r="A18" s="13">
        <v>15</v>
      </c>
      <c r="B18" s="14" t="s">
        <v>312</v>
      </c>
      <c r="C18" s="15" t="s">
        <v>313</v>
      </c>
      <c r="D18" s="23" t="s">
        <v>24</v>
      </c>
      <c r="E18" s="23">
        <v>200</v>
      </c>
      <c r="F18" s="24">
        <v>310</v>
      </c>
      <c r="G18" s="21">
        <v>95</v>
      </c>
      <c r="I18" s="128">
        <f t="shared" si="0"/>
        <v>46.5</v>
      </c>
      <c r="J18" s="129">
        <f t="shared" si="1"/>
        <v>215</v>
      </c>
      <c r="K18" s="129">
        <f t="shared" si="2"/>
        <v>95</v>
      </c>
    </row>
    <row r="19" spans="1:11" x14ac:dyDescent="0.25">
      <c r="A19" s="13">
        <v>16</v>
      </c>
      <c r="B19" s="14" t="s">
        <v>314</v>
      </c>
      <c r="C19" s="15" t="s">
        <v>315</v>
      </c>
      <c r="D19" s="23" t="s">
        <v>20</v>
      </c>
      <c r="E19" s="23">
        <v>200</v>
      </c>
      <c r="F19" s="24">
        <v>650</v>
      </c>
      <c r="G19" s="21">
        <v>175</v>
      </c>
      <c r="I19" s="128">
        <f t="shared" si="0"/>
        <v>97.5</v>
      </c>
      <c r="J19" s="129">
        <f t="shared" si="1"/>
        <v>475</v>
      </c>
      <c r="K19" s="129">
        <f t="shared" si="2"/>
        <v>175</v>
      </c>
    </row>
    <row r="20" spans="1:11" x14ac:dyDescent="0.25">
      <c r="A20" s="13">
        <v>17</v>
      </c>
      <c r="B20" s="14" t="s">
        <v>316</v>
      </c>
      <c r="C20" s="15" t="s">
        <v>317</v>
      </c>
      <c r="D20" s="23" t="s">
        <v>25</v>
      </c>
      <c r="E20" s="23">
        <v>144</v>
      </c>
      <c r="F20" s="24">
        <v>487</v>
      </c>
      <c r="G20" s="21">
        <v>165</v>
      </c>
      <c r="I20" s="128">
        <f t="shared" si="0"/>
        <v>73.05</v>
      </c>
      <c r="J20" s="129">
        <f t="shared" si="1"/>
        <v>322</v>
      </c>
      <c r="K20" s="129">
        <f t="shared" si="2"/>
        <v>165</v>
      </c>
    </row>
    <row r="21" spans="1:11" x14ac:dyDescent="0.25">
      <c r="A21" s="13">
        <v>18</v>
      </c>
      <c r="B21" s="14" t="s">
        <v>318</v>
      </c>
      <c r="C21" s="15" t="s">
        <v>317</v>
      </c>
      <c r="D21" s="23" t="s">
        <v>25</v>
      </c>
      <c r="E21" s="23">
        <v>144</v>
      </c>
      <c r="F21" s="24">
        <v>683</v>
      </c>
      <c r="G21" s="21">
        <v>245</v>
      </c>
      <c r="I21" s="128">
        <f t="shared" si="0"/>
        <v>102.45</v>
      </c>
      <c r="J21" s="129">
        <f t="shared" si="1"/>
        <v>438</v>
      </c>
      <c r="K21" s="129">
        <f t="shared" si="2"/>
        <v>245</v>
      </c>
    </row>
    <row r="22" spans="1:11" x14ac:dyDescent="0.25">
      <c r="A22" s="13">
        <v>19</v>
      </c>
      <c r="B22" s="14" t="s">
        <v>319</v>
      </c>
      <c r="C22" s="15" t="s">
        <v>320</v>
      </c>
      <c r="D22" s="23" t="s">
        <v>24</v>
      </c>
      <c r="E22" s="23">
        <v>165</v>
      </c>
      <c r="F22" s="24">
        <v>471</v>
      </c>
      <c r="G22" s="21">
        <v>125</v>
      </c>
      <c r="I22" s="128">
        <f t="shared" si="0"/>
        <v>70.649999999999991</v>
      </c>
      <c r="J22" s="129">
        <f t="shared" si="1"/>
        <v>346</v>
      </c>
      <c r="K22" s="129">
        <f t="shared" si="2"/>
        <v>125</v>
      </c>
    </row>
    <row r="23" spans="1:11" x14ac:dyDescent="0.25">
      <c r="A23" s="13">
        <v>20</v>
      </c>
      <c r="B23" s="14" t="s">
        <v>321</v>
      </c>
      <c r="C23" s="15" t="s">
        <v>322</v>
      </c>
      <c r="D23" s="23" t="s">
        <v>20</v>
      </c>
      <c r="E23" s="23">
        <v>50</v>
      </c>
      <c r="F23" s="24">
        <v>6000</v>
      </c>
      <c r="G23" s="21">
        <v>630</v>
      </c>
      <c r="I23" s="128">
        <f t="shared" si="0"/>
        <v>900</v>
      </c>
      <c r="J23" s="129">
        <f t="shared" si="1"/>
        <v>5370</v>
      </c>
      <c r="K23" s="129">
        <f t="shared" si="2"/>
        <v>630</v>
      </c>
    </row>
    <row r="24" spans="1:11" x14ac:dyDescent="0.25">
      <c r="A24" s="13">
        <v>21</v>
      </c>
      <c r="B24" s="14" t="s">
        <v>323</v>
      </c>
      <c r="C24" s="15" t="s">
        <v>324</v>
      </c>
      <c r="D24" s="23" t="s">
        <v>26</v>
      </c>
      <c r="E24" s="23">
        <v>200</v>
      </c>
      <c r="F24" s="24">
        <v>1400</v>
      </c>
      <c r="G24" s="21">
        <v>385</v>
      </c>
      <c r="I24" s="128">
        <f t="shared" si="0"/>
        <v>210</v>
      </c>
      <c r="J24" s="129">
        <f t="shared" si="1"/>
        <v>1015</v>
      </c>
      <c r="K24" s="129">
        <f t="shared" si="2"/>
        <v>385</v>
      </c>
    </row>
    <row r="25" spans="1:11" x14ac:dyDescent="0.25">
      <c r="A25" s="13">
        <v>22</v>
      </c>
      <c r="B25" s="14" t="s">
        <v>27</v>
      </c>
      <c r="C25" s="15" t="s">
        <v>28</v>
      </c>
      <c r="D25" s="23" t="s">
        <v>29</v>
      </c>
      <c r="E25" s="23">
        <v>260</v>
      </c>
      <c r="F25" s="24">
        <v>590</v>
      </c>
      <c r="G25" s="18">
        <v>245</v>
      </c>
      <c r="I25" s="128">
        <f t="shared" si="0"/>
        <v>88.5</v>
      </c>
      <c r="J25" s="129">
        <f t="shared" si="1"/>
        <v>345</v>
      </c>
      <c r="K25" s="129">
        <f t="shared" si="2"/>
        <v>245</v>
      </c>
    </row>
    <row r="26" spans="1:11" x14ac:dyDescent="0.25">
      <c r="A26" s="13">
        <v>23</v>
      </c>
      <c r="B26" s="14" t="s">
        <v>325</v>
      </c>
      <c r="C26" s="15" t="s">
        <v>326</v>
      </c>
      <c r="D26" s="23" t="s">
        <v>30</v>
      </c>
      <c r="E26" s="23">
        <v>110</v>
      </c>
      <c r="F26" s="24">
        <v>480</v>
      </c>
      <c r="G26" s="21">
        <v>125</v>
      </c>
      <c r="I26" s="128">
        <f t="shared" si="0"/>
        <v>72</v>
      </c>
      <c r="J26" s="129">
        <f t="shared" si="1"/>
        <v>355</v>
      </c>
      <c r="K26" s="129">
        <f t="shared" si="2"/>
        <v>125</v>
      </c>
    </row>
    <row r="27" spans="1:11" x14ac:dyDescent="0.25">
      <c r="A27" s="13">
        <v>24</v>
      </c>
      <c r="B27" s="14" t="s">
        <v>327</v>
      </c>
      <c r="C27" s="15" t="s">
        <v>328</v>
      </c>
      <c r="D27" s="23" t="s">
        <v>30</v>
      </c>
      <c r="E27" s="23">
        <v>230</v>
      </c>
      <c r="F27" s="24">
        <v>450</v>
      </c>
      <c r="G27" s="21">
        <v>140</v>
      </c>
      <c r="I27" s="128">
        <f t="shared" si="0"/>
        <v>67.5</v>
      </c>
      <c r="J27" s="129">
        <f t="shared" si="1"/>
        <v>310</v>
      </c>
      <c r="K27" s="129">
        <f t="shared" si="2"/>
        <v>140</v>
      </c>
    </row>
    <row r="28" spans="1:11" x14ac:dyDescent="0.25">
      <c r="A28" s="13">
        <v>25</v>
      </c>
      <c r="B28" s="14" t="s">
        <v>329</v>
      </c>
      <c r="C28" s="15" t="s">
        <v>328</v>
      </c>
      <c r="D28" s="23" t="s">
        <v>30</v>
      </c>
      <c r="E28" s="23">
        <v>230</v>
      </c>
      <c r="F28" s="24">
        <v>395</v>
      </c>
      <c r="G28" s="21">
        <v>115</v>
      </c>
      <c r="I28" s="128">
        <f t="shared" si="0"/>
        <v>59.25</v>
      </c>
      <c r="J28" s="129">
        <f t="shared" si="1"/>
        <v>280</v>
      </c>
      <c r="K28" s="129">
        <f t="shared" si="2"/>
        <v>115</v>
      </c>
    </row>
    <row r="29" spans="1:11" x14ac:dyDescent="0.25">
      <c r="A29" s="13">
        <v>26</v>
      </c>
      <c r="B29" s="14" t="s">
        <v>330</v>
      </c>
      <c r="C29" s="15" t="s">
        <v>328</v>
      </c>
      <c r="D29" s="23" t="s">
        <v>30</v>
      </c>
      <c r="E29" s="23">
        <v>126</v>
      </c>
      <c r="F29" s="24">
        <v>430</v>
      </c>
      <c r="G29" s="21">
        <v>130</v>
      </c>
      <c r="I29" s="128">
        <f t="shared" si="0"/>
        <v>64.5</v>
      </c>
      <c r="J29" s="129">
        <f t="shared" si="1"/>
        <v>300</v>
      </c>
      <c r="K29" s="129">
        <f t="shared" si="2"/>
        <v>130</v>
      </c>
    </row>
    <row r="30" spans="1:11" x14ac:dyDescent="0.25">
      <c r="A30" s="13">
        <v>27</v>
      </c>
      <c r="B30" s="14" t="s">
        <v>331</v>
      </c>
      <c r="C30" s="15" t="s">
        <v>332</v>
      </c>
      <c r="D30" s="23" t="s">
        <v>30</v>
      </c>
      <c r="E30" s="23">
        <v>232</v>
      </c>
      <c r="F30" s="24">
        <v>600</v>
      </c>
      <c r="G30" s="21">
        <v>215</v>
      </c>
      <c r="I30" s="128">
        <f t="shared" si="0"/>
        <v>90</v>
      </c>
      <c r="J30" s="129">
        <f t="shared" si="1"/>
        <v>385</v>
      </c>
      <c r="K30" s="129">
        <f t="shared" si="2"/>
        <v>215</v>
      </c>
    </row>
    <row r="31" spans="1:11" x14ac:dyDescent="0.25">
      <c r="A31" s="13">
        <v>28</v>
      </c>
      <c r="B31" s="14" t="s">
        <v>333</v>
      </c>
      <c r="C31" s="15" t="s">
        <v>334</v>
      </c>
      <c r="D31" s="23" t="s">
        <v>30</v>
      </c>
      <c r="E31" s="23">
        <v>232</v>
      </c>
      <c r="F31" s="24">
        <v>900</v>
      </c>
      <c r="G31" s="21">
        <v>270</v>
      </c>
      <c r="I31" s="128">
        <f t="shared" si="0"/>
        <v>135</v>
      </c>
      <c r="J31" s="129">
        <f t="shared" si="1"/>
        <v>630</v>
      </c>
      <c r="K31" s="129">
        <f t="shared" si="2"/>
        <v>270</v>
      </c>
    </row>
    <row r="32" spans="1:11" x14ac:dyDescent="0.25">
      <c r="A32" s="13">
        <v>29</v>
      </c>
      <c r="B32" s="14" t="s">
        <v>335</v>
      </c>
      <c r="C32" s="15" t="s">
        <v>336</v>
      </c>
      <c r="D32" s="23" t="s">
        <v>19</v>
      </c>
      <c r="E32" s="23">
        <v>310</v>
      </c>
      <c r="F32" s="24">
        <v>345</v>
      </c>
      <c r="G32" s="21">
        <v>130</v>
      </c>
      <c r="I32" s="128">
        <f t="shared" si="0"/>
        <v>51.75</v>
      </c>
      <c r="J32" s="129">
        <f t="shared" si="1"/>
        <v>215</v>
      </c>
      <c r="K32" s="129">
        <f t="shared" si="2"/>
        <v>130</v>
      </c>
    </row>
    <row r="33" spans="1:11" x14ac:dyDescent="0.25">
      <c r="A33" s="13">
        <v>30</v>
      </c>
      <c r="B33" s="14" t="s">
        <v>337</v>
      </c>
      <c r="C33" s="15" t="s">
        <v>336</v>
      </c>
      <c r="D33" s="23" t="s">
        <v>19</v>
      </c>
      <c r="E33" s="23">
        <v>300</v>
      </c>
      <c r="F33" s="24">
        <v>445</v>
      </c>
      <c r="G33" s="21">
        <v>160</v>
      </c>
      <c r="I33" s="128">
        <f t="shared" si="0"/>
        <v>66.75</v>
      </c>
      <c r="J33" s="129">
        <f t="shared" si="1"/>
        <v>285</v>
      </c>
      <c r="K33" s="129">
        <f t="shared" si="2"/>
        <v>160</v>
      </c>
    </row>
    <row r="34" spans="1:11" x14ac:dyDescent="0.25">
      <c r="A34" s="13">
        <v>31</v>
      </c>
      <c r="B34" s="14" t="s">
        <v>338</v>
      </c>
      <c r="C34" s="15" t="s">
        <v>339</v>
      </c>
      <c r="D34" s="23" t="s">
        <v>19</v>
      </c>
      <c r="E34" s="23">
        <v>130</v>
      </c>
      <c r="F34" s="24">
        <v>650</v>
      </c>
      <c r="G34" s="21">
        <v>195</v>
      </c>
      <c r="I34" s="128">
        <f t="shared" si="0"/>
        <v>97.5</v>
      </c>
      <c r="J34" s="129">
        <f t="shared" si="1"/>
        <v>455</v>
      </c>
      <c r="K34" s="129">
        <f t="shared" si="2"/>
        <v>195</v>
      </c>
    </row>
    <row r="35" spans="1:11" x14ac:dyDescent="0.25">
      <c r="A35" s="13">
        <v>32</v>
      </c>
      <c r="B35" s="26" t="s">
        <v>340</v>
      </c>
      <c r="C35" s="27" t="s">
        <v>341</v>
      </c>
      <c r="D35" s="23" t="s">
        <v>31</v>
      </c>
      <c r="E35" s="23">
        <v>300</v>
      </c>
      <c r="F35" s="24">
        <v>832</v>
      </c>
      <c r="G35" s="21">
        <v>235</v>
      </c>
      <c r="I35" s="128">
        <f t="shared" si="0"/>
        <v>124.8</v>
      </c>
      <c r="J35" s="129">
        <f t="shared" si="1"/>
        <v>597</v>
      </c>
      <c r="K35" s="129">
        <f t="shared" si="2"/>
        <v>235</v>
      </c>
    </row>
    <row r="36" spans="1:11" x14ac:dyDescent="0.25">
      <c r="A36" s="13">
        <v>33</v>
      </c>
      <c r="B36" s="14" t="s">
        <v>342</v>
      </c>
      <c r="C36" s="15" t="s">
        <v>343</v>
      </c>
      <c r="D36" s="23" t="s">
        <v>11</v>
      </c>
      <c r="E36" s="23">
        <v>114</v>
      </c>
      <c r="F36" s="24">
        <v>650</v>
      </c>
      <c r="G36" s="21">
        <v>205</v>
      </c>
      <c r="I36" s="128">
        <f t="shared" si="0"/>
        <v>97.5</v>
      </c>
      <c r="J36" s="129">
        <f t="shared" si="1"/>
        <v>445</v>
      </c>
      <c r="K36" s="129">
        <f t="shared" si="2"/>
        <v>205</v>
      </c>
    </row>
    <row r="37" spans="1:11" x14ac:dyDescent="0.25">
      <c r="A37" s="13">
        <v>34</v>
      </c>
      <c r="B37" s="14" t="s">
        <v>344</v>
      </c>
      <c r="C37" s="15" t="s">
        <v>345</v>
      </c>
      <c r="D37" s="23" t="s">
        <v>11</v>
      </c>
      <c r="E37" s="23">
        <v>114</v>
      </c>
      <c r="F37" s="24">
        <v>850</v>
      </c>
      <c r="G37" s="21">
        <v>225</v>
      </c>
      <c r="I37" s="128">
        <f t="shared" si="0"/>
        <v>127.5</v>
      </c>
      <c r="J37" s="129">
        <f t="shared" si="1"/>
        <v>625</v>
      </c>
      <c r="K37" s="129">
        <f t="shared" si="2"/>
        <v>225</v>
      </c>
    </row>
    <row r="38" spans="1:11" x14ac:dyDescent="0.25">
      <c r="A38" s="13">
        <v>35</v>
      </c>
      <c r="B38" s="14" t="s">
        <v>32</v>
      </c>
      <c r="C38" s="15" t="s">
        <v>33</v>
      </c>
      <c r="D38" s="23" t="s">
        <v>23</v>
      </c>
      <c r="E38" s="23"/>
      <c r="F38" s="24">
        <v>257</v>
      </c>
      <c r="G38" s="22">
        <v>132</v>
      </c>
      <c r="I38" s="128">
        <f t="shared" si="0"/>
        <v>38.549999999999997</v>
      </c>
      <c r="J38" s="129">
        <f t="shared" si="1"/>
        <v>125</v>
      </c>
      <c r="K38" s="129">
        <f t="shared" si="2"/>
        <v>132</v>
      </c>
    </row>
    <row r="39" spans="1:11" x14ac:dyDescent="0.25">
      <c r="A39" s="13">
        <v>36</v>
      </c>
      <c r="B39" s="14" t="s">
        <v>34</v>
      </c>
      <c r="C39" s="15" t="s">
        <v>33</v>
      </c>
      <c r="D39" s="23" t="s">
        <v>23</v>
      </c>
      <c r="E39" s="23"/>
      <c r="F39" s="24">
        <v>353</v>
      </c>
      <c r="G39" s="21">
        <v>180</v>
      </c>
      <c r="I39" s="128">
        <f t="shared" si="0"/>
        <v>52.949999999999996</v>
      </c>
      <c r="J39" s="129">
        <f t="shared" si="1"/>
        <v>173</v>
      </c>
      <c r="K39" s="129">
        <f t="shared" si="2"/>
        <v>180</v>
      </c>
    </row>
    <row r="40" spans="1:11" x14ac:dyDescent="0.25">
      <c r="A40" s="13">
        <v>37</v>
      </c>
      <c r="B40" s="14" t="s">
        <v>35</v>
      </c>
      <c r="C40" s="15" t="s">
        <v>36</v>
      </c>
      <c r="D40" s="23" t="s">
        <v>23</v>
      </c>
      <c r="E40" s="23">
        <v>232</v>
      </c>
      <c r="F40" s="24">
        <v>390</v>
      </c>
      <c r="G40" s="21">
        <v>160</v>
      </c>
      <c r="I40" s="128">
        <f t="shared" si="0"/>
        <v>58.5</v>
      </c>
      <c r="J40" s="129">
        <f t="shared" si="1"/>
        <v>230</v>
      </c>
      <c r="K40" s="129">
        <f t="shared" si="2"/>
        <v>160</v>
      </c>
    </row>
    <row r="41" spans="1:11" x14ac:dyDescent="0.25">
      <c r="A41" s="13">
        <v>38</v>
      </c>
      <c r="B41" s="14" t="s">
        <v>37</v>
      </c>
      <c r="C41" s="15" t="s">
        <v>36</v>
      </c>
      <c r="D41" s="23" t="s">
        <v>23</v>
      </c>
      <c r="E41" s="23">
        <v>232</v>
      </c>
      <c r="F41" s="24">
        <v>550</v>
      </c>
      <c r="G41" s="21">
        <v>180</v>
      </c>
      <c r="I41" s="128">
        <f t="shared" si="0"/>
        <v>82.5</v>
      </c>
      <c r="J41" s="129">
        <f t="shared" si="1"/>
        <v>370</v>
      </c>
      <c r="K41" s="129">
        <f t="shared" si="2"/>
        <v>180</v>
      </c>
    </row>
    <row r="42" spans="1:11" x14ac:dyDescent="0.25">
      <c r="A42" s="13">
        <v>39</v>
      </c>
      <c r="B42" s="14" t="s">
        <v>38</v>
      </c>
      <c r="C42" s="15" t="s">
        <v>39</v>
      </c>
      <c r="D42" s="23" t="s">
        <v>23</v>
      </c>
      <c r="E42" s="23">
        <v>232</v>
      </c>
      <c r="F42" s="24">
        <v>630</v>
      </c>
      <c r="G42" s="21">
        <v>220</v>
      </c>
      <c r="I42" s="128">
        <f t="shared" si="0"/>
        <v>94.5</v>
      </c>
      <c r="J42" s="129">
        <f t="shared" si="1"/>
        <v>410</v>
      </c>
      <c r="K42" s="129">
        <f t="shared" si="2"/>
        <v>220</v>
      </c>
    </row>
    <row r="43" spans="1:11" x14ac:dyDescent="0.25">
      <c r="A43" s="13">
        <v>40</v>
      </c>
      <c r="B43" s="14" t="s">
        <v>40</v>
      </c>
      <c r="C43" s="15" t="s">
        <v>41</v>
      </c>
      <c r="D43" s="23" t="s">
        <v>11</v>
      </c>
      <c r="E43" s="23">
        <v>192</v>
      </c>
      <c r="F43" s="24">
        <v>690</v>
      </c>
      <c r="G43" s="21">
        <v>340</v>
      </c>
      <c r="I43" s="128">
        <f t="shared" si="0"/>
        <v>103.5</v>
      </c>
      <c r="J43" s="129">
        <f t="shared" si="1"/>
        <v>350</v>
      </c>
      <c r="K43" s="129">
        <f t="shared" si="2"/>
        <v>340</v>
      </c>
    </row>
    <row r="44" spans="1:11" x14ac:dyDescent="0.25">
      <c r="A44" s="13">
        <v>41</v>
      </c>
      <c r="B44" s="14" t="s">
        <v>42</v>
      </c>
      <c r="C44" s="15" t="s">
        <v>43</v>
      </c>
      <c r="D44" s="23" t="s">
        <v>12</v>
      </c>
      <c r="E44" s="23">
        <v>140</v>
      </c>
      <c r="F44" s="24">
        <v>790</v>
      </c>
      <c r="G44" s="21">
        <v>465</v>
      </c>
      <c r="I44" s="128">
        <f t="shared" si="0"/>
        <v>118.5</v>
      </c>
      <c r="J44" s="129">
        <f t="shared" si="1"/>
        <v>325</v>
      </c>
      <c r="K44" s="129">
        <f t="shared" si="2"/>
        <v>465</v>
      </c>
    </row>
    <row r="45" spans="1:11" x14ac:dyDescent="0.25">
      <c r="A45" s="13">
        <v>42</v>
      </c>
      <c r="B45" s="14" t="s">
        <v>44</v>
      </c>
      <c r="C45" s="15" t="s">
        <v>45</v>
      </c>
      <c r="D45" s="23" t="s">
        <v>46</v>
      </c>
      <c r="E45" s="23">
        <v>280</v>
      </c>
      <c r="F45" s="24">
        <v>190</v>
      </c>
      <c r="G45" s="21">
        <v>90</v>
      </c>
      <c r="I45" s="128">
        <f t="shared" si="0"/>
        <v>28.5</v>
      </c>
      <c r="J45" s="129">
        <f t="shared" si="1"/>
        <v>100</v>
      </c>
      <c r="K45" s="129">
        <f t="shared" si="2"/>
        <v>90</v>
      </c>
    </row>
    <row r="46" spans="1:11" x14ac:dyDescent="0.25">
      <c r="A46" s="13">
        <v>43</v>
      </c>
      <c r="B46" s="14" t="s">
        <v>346</v>
      </c>
      <c r="C46" s="15" t="s">
        <v>347</v>
      </c>
      <c r="D46" s="23" t="s">
        <v>47</v>
      </c>
      <c r="E46" s="23">
        <v>128</v>
      </c>
      <c r="F46" s="24">
        <v>650</v>
      </c>
      <c r="G46" s="21">
        <v>180</v>
      </c>
      <c r="I46" s="128">
        <f t="shared" si="0"/>
        <v>97.5</v>
      </c>
      <c r="J46" s="129">
        <f t="shared" si="1"/>
        <v>470</v>
      </c>
      <c r="K46" s="129">
        <f t="shared" si="2"/>
        <v>180</v>
      </c>
    </row>
    <row r="47" spans="1:11" x14ac:dyDescent="0.25">
      <c r="A47" s="13">
        <v>44</v>
      </c>
      <c r="B47" s="14" t="s">
        <v>48</v>
      </c>
      <c r="C47" s="15" t="s">
        <v>49</v>
      </c>
      <c r="D47" s="23" t="s">
        <v>50</v>
      </c>
      <c r="E47" s="23">
        <v>200</v>
      </c>
      <c r="F47" s="24">
        <v>900</v>
      </c>
      <c r="G47" s="18">
        <v>330</v>
      </c>
      <c r="I47" s="128">
        <f t="shared" si="0"/>
        <v>135</v>
      </c>
      <c r="J47" s="129">
        <f t="shared" si="1"/>
        <v>570</v>
      </c>
      <c r="K47" s="129">
        <f t="shared" si="2"/>
        <v>330</v>
      </c>
    </row>
    <row r="48" spans="1:11" x14ac:dyDescent="0.25">
      <c r="A48" s="13">
        <v>45</v>
      </c>
      <c r="B48" s="14" t="s">
        <v>51</v>
      </c>
      <c r="C48" s="15" t="s">
        <v>49</v>
      </c>
      <c r="D48" s="23" t="s">
        <v>50</v>
      </c>
      <c r="E48" s="23">
        <v>200</v>
      </c>
      <c r="F48" s="24">
        <v>600</v>
      </c>
      <c r="G48" s="18">
        <v>220</v>
      </c>
      <c r="I48" s="128">
        <f t="shared" si="0"/>
        <v>90</v>
      </c>
      <c r="J48" s="129">
        <f t="shared" si="1"/>
        <v>380</v>
      </c>
      <c r="K48" s="129">
        <f t="shared" si="2"/>
        <v>220</v>
      </c>
    </row>
    <row r="49" spans="1:11" x14ac:dyDescent="0.25">
      <c r="A49" s="13">
        <v>46</v>
      </c>
      <c r="B49" s="14" t="s">
        <v>52</v>
      </c>
      <c r="C49" s="15" t="s">
        <v>53</v>
      </c>
      <c r="D49" s="23" t="s">
        <v>11</v>
      </c>
      <c r="E49" s="23">
        <v>204</v>
      </c>
      <c r="F49" s="24">
        <v>570</v>
      </c>
      <c r="G49" s="18">
        <v>240</v>
      </c>
      <c r="I49" s="128">
        <f t="shared" si="0"/>
        <v>85.5</v>
      </c>
      <c r="J49" s="129">
        <f t="shared" si="1"/>
        <v>330</v>
      </c>
      <c r="K49" s="129">
        <f t="shared" si="2"/>
        <v>240</v>
      </c>
    </row>
    <row r="50" spans="1:11" x14ac:dyDescent="0.25">
      <c r="A50" s="13">
        <v>47</v>
      </c>
      <c r="B50" s="14" t="s">
        <v>54</v>
      </c>
      <c r="C50" s="15" t="s">
        <v>55</v>
      </c>
      <c r="D50" s="23" t="s">
        <v>56</v>
      </c>
      <c r="E50" s="23">
        <v>96</v>
      </c>
      <c r="F50" s="24">
        <v>305</v>
      </c>
      <c r="G50" s="18">
        <v>140</v>
      </c>
      <c r="I50" s="128">
        <f t="shared" si="0"/>
        <v>45.75</v>
      </c>
      <c r="J50" s="129">
        <f t="shared" si="1"/>
        <v>165</v>
      </c>
      <c r="K50" s="129">
        <f t="shared" si="2"/>
        <v>140</v>
      </c>
    </row>
    <row r="51" spans="1:11" x14ac:dyDescent="0.25">
      <c r="A51" s="13">
        <v>48</v>
      </c>
      <c r="B51" s="14" t="s">
        <v>54</v>
      </c>
      <c r="C51" s="15" t="s">
        <v>57</v>
      </c>
      <c r="D51" s="23" t="s">
        <v>56</v>
      </c>
      <c r="E51" s="23">
        <v>96</v>
      </c>
      <c r="F51" s="24">
        <v>400</v>
      </c>
      <c r="G51" s="18">
        <v>200</v>
      </c>
      <c r="I51" s="128">
        <f t="shared" si="0"/>
        <v>60</v>
      </c>
      <c r="J51" s="129">
        <f t="shared" si="1"/>
        <v>200</v>
      </c>
      <c r="K51" s="129">
        <f t="shared" si="2"/>
        <v>200</v>
      </c>
    </row>
    <row r="52" spans="1:11" x14ac:dyDescent="0.25">
      <c r="A52" s="13">
        <v>49</v>
      </c>
      <c r="B52" s="14" t="s">
        <v>58</v>
      </c>
      <c r="C52" s="15" t="s">
        <v>59</v>
      </c>
      <c r="D52" s="23" t="s">
        <v>60</v>
      </c>
      <c r="E52" s="23">
        <v>130</v>
      </c>
      <c r="F52" s="24">
        <v>580</v>
      </c>
      <c r="G52" s="18">
        <v>275</v>
      </c>
      <c r="I52" s="128">
        <f t="shared" si="0"/>
        <v>87</v>
      </c>
      <c r="J52" s="129">
        <f t="shared" si="1"/>
        <v>305</v>
      </c>
      <c r="K52" s="129">
        <f t="shared" si="2"/>
        <v>275</v>
      </c>
    </row>
    <row r="53" spans="1:11" x14ac:dyDescent="0.25">
      <c r="A53" s="13">
        <v>50</v>
      </c>
      <c r="B53" s="14" t="s">
        <v>61</v>
      </c>
      <c r="C53" s="15" t="s">
        <v>62</v>
      </c>
      <c r="D53" s="23" t="s">
        <v>11</v>
      </c>
      <c r="E53" s="23">
        <v>300</v>
      </c>
      <c r="F53" s="24">
        <v>480</v>
      </c>
      <c r="G53" s="18">
        <v>180</v>
      </c>
      <c r="I53" s="128">
        <f t="shared" si="0"/>
        <v>72</v>
      </c>
      <c r="J53" s="129">
        <f t="shared" si="1"/>
        <v>300</v>
      </c>
      <c r="K53" s="129">
        <f t="shared" si="2"/>
        <v>180</v>
      </c>
    </row>
    <row r="54" spans="1:11" x14ac:dyDescent="0.25">
      <c r="A54" s="13">
        <v>51</v>
      </c>
      <c r="B54" s="14" t="s">
        <v>63</v>
      </c>
      <c r="C54" s="15" t="s">
        <v>64</v>
      </c>
      <c r="D54" s="23" t="s">
        <v>11</v>
      </c>
      <c r="E54" s="23">
        <v>360</v>
      </c>
      <c r="F54" s="24">
        <v>550</v>
      </c>
      <c r="G54" s="18">
        <v>150</v>
      </c>
      <c r="I54" s="128">
        <f t="shared" si="0"/>
        <v>82.5</v>
      </c>
      <c r="J54" s="129">
        <f t="shared" si="1"/>
        <v>400</v>
      </c>
      <c r="K54" s="129">
        <f t="shared" si="2"/>
        <v>150</v>
      </c>
    </row>
    <row r="55" spans="1:11" x14ac:dyDescent="0.25">
      <c r="A55" s="13">
        <v>52</v>
      </c>
      <c r="B55" s="14" t="s">
        <v>65</v>
      </c>
      <c r="C55" s="15" t="s">
        <v>66</v>
      </c>
      <c r="D55" s="23" t="s">
        <v>11</v>
      </c>
      <c r="E55" s="23">
        <v>226</v>
      </c>
      <c r="F55" s="24">
        <v>780</v>
      </c>
      <c r="G55" s="18">
        <v>225</v>
      </c>
      <c r="I55" s="128">
        <f t="shared" si="0"/>
        <v>117</v>
      </c>
      <c r="J55" s="129">
        <f t="shared" si="1"/>
        <v>555</v>
      </c>
      <c r="K55" s="129">
        <f t="shared" si="2"/>
        <v>225</v>
      </c>
    </row>
    <row r="56" spans="1:11" x14ac:dyDescent="0.25">
      <c r="A56" s="13">
        <v>53</v>
      </c>
      <c r="B56" s="14" t="s">
        <v>67</v>
      </c>
      <c r="C56" s="15" t="s">
        <v>68</v>
      </c>
      <c r="D56" s="23" t="s">
        <v>12</v>
      </c>
      <c r="E56" s="23">
        <v>100</v>
      </c>
      <c r="F56" s="24">
        <v>2400</v>
      </c>
      <c r="G56" s="18">
        <v>610</v>
      </c>
      <c r="I56" s="128">
        <f t="shared" si="0"/>
        <v>360</v>
      </c>
      <c r="J56" s="129">
        <f t="shared" si="1"/>
        <v>1790</v>
      </c>
      <c r="K56" s="129">
        <f t="shared" si="2"/>
        <v>610</v>
      </c>
    </row>
    <row r="57" spans="1:11" x14ac:dyDescent="0.25">
      <c r="A57" s="13">
        <v>54</v>
      </c>
      <c r="B57" s="14" t="s">
        <v>67</v>
      </c>
      <c r="C57" s="15" t="s">
        <v>69</v>
      </c>
      <c r="D57" s="23" t="s">
        <v>12</v>
      </c>
      <c r="E57" s="23">
        <v>100</v>
      </c>
      <c r="F57" s="24">
        <v>1300</v>
      </c>
      <c r="G57" s="18">
        <v>465</v>
      </c>
      <c r="I57" s="128">
        <f t="shared" si="0"/>
        <v>195</v>
      </c>
      <c r="J57" s="129">
        <f t="shared" si="1"/>
        <v>835</v>
      </c>
      <c r="K57" s="129">
        <f t="shared" si="2"/>
        <v>465</v>
      </c>
    </row>
    <row r="58" spans="1:11" x14ac:dyDescent="0.25">
      <c r="A58" s="13">
        <v>55</v>
      </c>
      <c r="B58" s="14" t="s">
        <v>70</v>
      </c>
      <c r="C58" s="15" t="s">
        <v>71</v>
      </c>
      <c r="D58" s="23" t="s">
        <v>11</v>
      </c>
      <c r="E58" s="23">
        <v>352</v>
      </c>
      <c r="F58" s="24">
        <v>330</v>
      </c>
      <c r="G58" s="18">
        <v>85</v>
      </c>
      <c r="I58" s="128">
        <f t="shared" si="0"/>
        <v>49.5</v>
      </c>
      <c r="J58" s="129">
        <f t="shared" si="1"/>
        <v>245</v>
      </c>
      <c r="K58" s="129">
        <f t="shared" si="2"/>
        <v>85</v>
      </c>
    </row>
    <row r="59" spans="1:11" x14ac:dyDescent="0.25">
      <c r="A59" s="13">
        <v>56</v>
      </c>
      <c r="B59" s="14" t="s">
        <v>72</v>
      </c>
      <c r="C59" s="15" t="s">
        <v>73</v>
      </c>
      <c r="D59" s="23" t="s">
        <v>46</v>
      </c>
      <c r="E59" s="23">
        <v>480</v>
      </c>
      <c r="F59" s="24">
        <v>230</v>
      </c>
      <c r="G59" s="18">
        <v>65</v>
      </c>
      <c r="I59" s="128">
        <f t="shared" si="0"/>
        <v>34.5</v>
      </c>
      <c r="J59" s="129">
        <f t="shared" si="1"/>
        <v>165</v>
      </c>
      <c r="K59" s="129">
        <f t="shared" si="2"/>
        <v>65</v>
      </c>
    </row>
    <row r="60" spans="1:11" x14ac:dyDescent="0.25">
      <c r="A60" s="13">
        <v>57</v>
      </c>
      <c r="B60" s="14" t="s">
        <v>74</v>
      </c>
      <c r="C60" s="15" t="s">
        <v>75</v>
      </c>
      <c r="D60" s="23" t="s">
        <v>46</v>
      </c>
      <c r="E60" s="23">
        <v>286</v>
      </c>
      <c r="F60" s="24">
        <v>385</v>
      </c>
      <c r="G60" s="28">
        <v>105</v>
      </c>
      <c r="I60" s="128">
        <f t="shared" si="0"/>
        <v>57.75</v>
      </c>
      <c r="J60" s="129">
        <f t="shared" si="1"/>
        <v>280</v>
      </c>
      <c r="K60" s="129">
        <f t="shared" si="2"/>
        <v>105</v>
      </c>
    </row>
    <row r="61" spans="1:11" x14ac:dyDescent="0.25">
      <c r="A61" s="13">
        <v>58</v>
      </c>
      <c r="B61" s="14" t="s">
        <v>76</v>
      </c>
      <c r="C61" s="15" t="s">
        <v>75</v>
      </c>
      <c r="D61" s="23" t="s">
        <v>46</v>
      </c>
      <c r="E61" s="23">
        <v>286</v>
      </c>
      <c r="F61" s="24">
        <v>540</v>
      </c>
      <c r="G61" s="28">
        <v>145</v>
      </c>
      <c r="I61" s="128">
        <f t="shared" si="0"/>
        <v>81</v>
      </c>
      <c r="J61" s="129">
        <f t="shared" si="1"/>
        <v>395</v>
      </c>
      <c r="K61" s="129">
        <f t="shared" si="2"/>
        <v>145</v>
      </c>
    </row>
    <row r="62" spans="1:11" x14ac:dyDescent="0.25">
      <c r="A62" s="13">
        <v>59</v>
      </c>
      <c r="B62" s="14" t="s">
        <v>77</v>
      </c>
      <c r="C62" s="15" t="s">
        <v>78</v>
      </c>
      <c r="D62" s="23" t="s">
        <v>46</v>
      </c>
      <c r="E62" s="23">
        <v>600</v>
      </c>
      <c r="F62" s="24">
        <v>150</v>
      </c>
      <c r="G62" s="28">
        <v>43</v>
      </c>
      <c r="I62" s="128">
        <f t="shared" si="0"/>
        <v>22.5</v>
      </c>
      <c r="J62" s="129">
        <f t="shared" si="1"/>
        <v>107</v>
      </c>
      <c r="K62" s="129">
        <f t="shared" si="2"/>
        <v>43</v>
      </c>
    </row>
    <row r="63" spans="1:11" x14ac:dyDescent="0.25">
      <c r="A63" s="13">
        <v>60</v>
      </c>
      <c r="B63" s="14" t="s">
        <v>79</v>
      </c>
      <c r="C63" s="15" t="s">
        <v>80</v>
      </c>
      <c r="D63" s="23" t="s">
        <v>46</v>
      </c>
      <c r="E63" s="23">
        <v>500</v>
      </c>
      <c r="F63" s="24">
        <v>200</v>
      </c>
      <c r="G63" s="28">
        <v>48</v>
      </c>
      <c r="I63" s="128">
        <f t="shared" si="0"/>
        <v>30</v>
      </c>
      <c r="J63" s="129">
        <f t="shared" si="1"/>
        <v>152</v>
      </c>
      <c r="K63" s="129">
        <f t="shared" si="2"/>
        <v>48</v>
      </c>
    </row>
    <row r="64" spans="1:11" x14ac:dyDescent="0.25">
      <c r="A64" s="13">
        <v>61</v>
      </c>
      <c r="B64" s="14" t="s">
        <v>81</v>
      </c>
      <c r="C64" s="15" t="s">
        <v>82</v>
      </c>
      <c r="D64" s="23" t="s">
        <v>46</v>
      </c>
      <c r="E64" s="23">
        <v>525</v>
      </c>
      <c r="F64" s="24">
        <v>120</v>
      </c>
      <c r="G64" s="28">
        <v>48</v>
      </c>
      <c r="I64" s="128">
        <f t="shared" si="0"/>
        <v>18</v>
      </c>
      <c r="J64" s="129">
        <f t="shared" si="1"/>
        <v>72</v>
      </c>
      <c r="K64" s="129">
        <f t="shared" si="2"/>
        <v>48</v>
      </c>
    </row>
    <row r="65" spans="1:11" x14ac:dyDescent="0.25">
      <c r="A65" s="13">
        <v>62</v>
      </c>
      <c r="B65" s="14" t="s">
        <v>83</v>
      </c>
      <c r="C65" s="15" t="s">
        <v>84</v>
      </c>
      <c r="D65" s="23" t="s">
        <v>46</v>
      </c>
      <c r="E65" s="23">
        <v>360</v>
      </c>
      <c r="F65" s="24"/>
      <c r="G65" s="28"/>
      <c r="I65" s="128">
        <f t="shared" si="0"/>
        <v>0</v>
      </c>
      <c r="J65" s="129">
        <f t="shared" si="1"/>
        <v>0</v>
      </c>
      <c r="K65" s="129">
        <f t="shared" si="2"/>
        <v>0</v>
      </c>
    </row>
    <row r="66" spans="1:11" x14ac:dyDescent="0.25">
      <c r="A66" s="13">
        <v>63</v>
      </c>
      <c r="B66" s="14" t="s">
        <v>85</v>
      </c>
      <c r="C66" s="15" t="s">
        <v>84</v>
      </c>
      <c r="D66" s="23" t="s">
        <v>46</v>
      </c>
      <c r="E66" s="23">
        <v>360</v>
      </c>
      <c r="F66" s="24">
        <v>350</v>
      </c>
      <c r="G66" s="28">
        <v>88</v>
      </c>
      <c r="I66" s="128">
        <f t="shared" si="0"/>
        <v>52.5</v>
      </c>
      <c r="J66" s="129">
        <f t="shared" si="1"/>
        <v>262</v>
      </c>
      <c r="K66" s="129">
        <f t="shared" si="2"/>
        <v>88</v>
      </c>
    </row>
    <row r="67" spans="1:11" x14ac:dyDescent="0.25">
      <c r="A67" s="13">
        <v>64</v>
      </c>
      <c r="B67" s="14" t="s">
        <v>86</v>
      </c>
      <c r="C67" s="15" t="s">
        <v>84</v>
      </c>
      <c r="D67" s="23" t="s">
        <v>46</v>
      </c>
      <c r="E67" s="23">
        <v>360</v>
      </c>
      <c r="F67" s="24">
        <v>480</v>
      </c>
      <c r="G67" s="28">
        <v>130</v>
      </c>
      <c r="I67" s="128">
        <f t="shared" si="0"/>
        <v>72</v>
      </c>
      <c r="J67" s="129">
        <f t="shared" si="1"/>
        <v>350</v>
      </c>
      <c r="K67" s="129">
        <f t="shared" si="2"/>
        <v>130</v>
      </c>
    </row>
    <row r="68" spans="1:11" x14ac:dyDescent="0.25">
      <c r="A68" s="13">
        <v>65</v>
      </c>
      <c r="B68" s="14" t="s">
        <v>87</v>
      </c>
      <c r="C68" s="15" t="s">
        <v>88</v>
      </c>
      <c r="D68" s="23" t="s">
        <v>11</v>
      </c>
      <c r="E68" s="23">
        <v>220</v>
      </c>
      <c r="F68" s="24">
        <v>390</v>
      </c>
      <c r="G68" s="28">
        <v>135</v>
      </c>
      <c r="I68" s="128">
        <f t="shared" si="0"/>
        <v>58.5</v>
      </c>
      <c r="J68" s="129">
        <f t="shared" si="1"/>
        <v>255</v>
      </c>
      <c r="K68" s="129">
        <f t="shared" si="2"/>
        <v>135</v>
      </c>
    </row>
    <row r="69" spans="1:11" x14ac:dyDescent="0.25">
      <c r="A69" s="13">
        <v>66</v>
      </c>
      <c r="B69" s="14" t="s">
        <v>89</v>
      </c>
      <c r="C69" s="15" t="s">
        <v>90</v>
      </c>
      <c r="D69" s="23" t="s">
        <v>11</v>
      </c>
      <c r="E69" s="23"/>
      <c r="F69" s="24">
        <v>700</v>
      </c>
      <c r="G69" s="18">
        <v>185</v>
      </c>
      <c r="I69" s="128">
        <f t="shared" ref="I69:I132" si="3">+(F69*0.15)</f>
        <v>105</v>
      </c>
      <c r="J69" s="129">
        <f t="shared" ref="J69:J132" si="4">+F69-G69</f>
        <v>515</v>
      </c>
      <c r="K69" s="129">
        <f t="shared" ref="K69:K132" si="5">+F69-J69</f>
        <v>185</v>
      </c>
    </row>
    <row r="70" spans="1:11" x14ac:dyDescent="0.25">
      <c r="A70" s="13">
        <v>67</v>
      </c>
      <c r="B70" s="14" t="s">
        <v>91</v>
      </c>
      <c r="C70" s="15" t="s">
        <v>92</v>
      </c>
      <c r="D70" s="23" t="s">
        <v>93</v>
      </c>
      <c r="E70" s="23">
        <v>344</v>
      </c>
      <c r="F70" s="24">
        <v>650</v>
      </c>
      <c r="G70" s="18">
        <v>245</v>
      </c>
      <c r="I70" s="128">
        <f t="shared" si="3"/>
        <v>97.5</v>
      </c>
      <c r="J70" s="129">
        <f t="shared" si="4"/>
        <v>405</v>
      </c>
      <c r="K70" s="129">
        <f t="shared" si="5"/>
        <v>245</v>
      </c>
    </row>
    <row r="71" spans="1:11" x14ac:dyDescent="0.25">
      <c r="A71" s="13">
        <v>68</v>
      </c>
      <c r="B71" s="14" t="s">
        <v>94</v>
      </c>
      <c r="C71" s="15" t="s">
        <v>95</v>
      </c>
      <c r="D71" s="23" t="s">
        <v>46</v>
      </c>
      <c r="E71" s="23">
        <v>258</v>
      </c>
      <c r="F71" s="24">
        <v>325</v>
      </c>
      <c r="G71" s="18">
        <v>98</v>
      </c>
      <c r="I71" s="128">
        <f t="shared" si="3"/>
        <v>48.75</v>
      </c>
      <c r="J71" s="129">
        <f t="shared" si="4"/>
        <v>227</v>
      </c>
      <c r="K71" s="129">
        <f t="shared" si="5"/>
        <v>98</v>
      </c>
    </row>
    <row r="72" spans="1:11" x14ac:dyDescent="0.25">
      <c r="A72" s="13">
        <v>69</v>
      </c>
      <c r="B72" s="14" t="s">
        <v>96</v>
      </c>
      <c r="C72" s="15" t="s">
        <v>95</v>
      </c>
      <c r="D72" s="23" t="s">
        <v>46</v>
      </c>
      <c r="E72" s="23">
        <v>258</v>
      </c>
      <c r="F72" s="24">
        <v>480</v>
      </c>
      <c r="G72" s="18">
        <v>130</v>
      </c>
      <c r="I72" s="128">
        <f t="shared" si="3"/>
        <v>72</v>
      </c>
      <c r="J72" s="129">
        <f t="shared" si="4"/>
        <v>350</v>
      </c>
      <c r="K72" s="129">
        <f t="shared" si="5"/>
        <v>130</v>
      </c>
    </row>
    <row r="73" spans="1:11" x14ac:dyDescent="0.25">
      <c r="A73" s="13">
        <v>70</v>
      </c>
      <c r="B73" s="14" t="s">
        <v>97</v>
      </c>
      <c r="C73" s="15" t="s">
        <v>98</v>
      </c>
      <c r="D73" s="23" t="s">
        <v>11</v>
      </c>
      <c r="E73" s="23">
        <v>150</v>
      </c>
      <c r="F73" s="24">
        <v>750</v>
      </c>
      <c r="G73" s="18">
        <v>245</v>
      </c>
      <c r="I73" s="128">
        <f t="shared" si="3"/>
        <v>112.5</v>
      </c>
      <c r="J73" s="129">
        <f t="shared" si="4"/>
        <v>505</v>
      </c>
      <c r="K73" s="129">
        <f t="shared" si="5"/>
        <v>245</v>
      </c>
    </row>
    <row r="74" spans="1:11" x14ac:dyDescent="0.25">
      <c r="A74" s="13">
        <v>71</v>
      </c>
      <c r="B74" s="14" t="s">
        <v>99</v>
      </c>
      <c r="C74" s="15" t="s">
        <v>98</v>
      </c>
      <c r="D74" s="23" t="s">
        <v>11</v>
      </c>
      <c r="E74" s="23">
        <v>148</v>
      </c>
      <c r="F74" s="24">
        <v>1300</v>
      </c>
      <c r="G74" s="18">
        <v>350</v>
      </c>
      <c r="I74" s="128">
        <f t="shared" si="3"/>
        <v>195</v>
      </c>
      <c r="J74" s="129">
        <f t="shared" si="4"/>
        <v>950</v>
      </c>
      <c r="K74" s="129">
        <f t="shared" si="5"/>
        <v>350</v>
      </c>
    </row>
    <row r="75" spans="1:11" x14ac:dyDescent="0.25">
      <c r="A75" s="13">
        <v>72</v>
      </c>
      <c r="B75" s="14" t="s">
        <v>100</v>
      </c>
      <c r="C75" s="15" t="s">
        <v>101</v>
      </c>
      <c r="D75" s="23" t="s">
        <v>50</v>
      </c>
      <c r="E75" s="23">
        <v>258</v>
      </c>
      <c r="F75" s="24">
        <v>850</v>
      </c>
      <c r="G75" s="18">
        <v>270</v>
      </c>
      <c r="I75" s="128">
        <f t="shared" si="3"/>
        <v>127.5</v>
      </c>
      <c r="J75" s="129">
        <f t="shared" si="4"/>
        <v>580</v>
      </c>
      <c r="K75" s="129">
        <f t="shared" si="5"/>
        <v>270</v>
      </c>
    </row>
    <row r="76" spans="1:11" x14ac:dyDescent="0.25">
      <c r="A76" s="13">
        <v>73</v>
      </c>
      <c r="B76" s="14" t="s">
        <v>102</v>
      </c>
      <c r="C76" s="15" t="s">
        <v>103</v>
      </c>
      <c r="D76" s="23" t="s">
        <v>12</v>
      </c>
      <c r="E76" s="23">
        <v>600</v>
      </c>
      <c r="F76" s="24">
        <v>530</v>
      </c>
      <c r="G76" s="18">
        <v>165</v>
      </c>
      <c r="I76" s="128">
        <f t="shared" si="3"/>
        <v>79.5</v>
      </c>
      <c r="J76" s="129">
        <f t="shared" si="4"/>
        <v>365</v>
      </c>
      <c r="K76" s="129">
        <f t="shared" si="5"/>
        <v>165</v>
      </c>
    </row>
    <row r="77" spans="1:11" x14ac:dyDescent="0.25">
      <c r="A77" s="13">
        <v>74</v>
      </c>
      <c r="B77" s="14" t="s">
        <v>104</v>
      </c>
      <c r="C77" s="15" t="s">
        <v>105</v>
      </c>
      <c r="D77" s="23" t="s">
        <v>11</v>
      </c>
      <c r="E77" s="23">
        <v>232</v>
      </c>
      <c r="F77" s="24">
        <v>970</v>
      </c>
      <c r="G77" s="28">
        <v>285</v>
      </c>
      <c r="I77" s="128">
        <f t="shared" si="3"/>
        <v>145.5</v>
      </c>
      <c r="J77" s="129">
        <f t="shared" si="4"/>
        <v>685</v>
      </c>
      <c r="K77" s="129">
        <f t="shared" si="5"/>
        <v>285</v>
      </c>
    </row>
    <row r="78" spans="1:11" x14ac:dyDescent="0.25">
      <c r="A78" s="13">
        <v>75</v>
      </c>
      <c r="B78" s="14" t="s">
        <v>106</v>
      </c>
      <c r="C78" s="15" t="s">
        <v>107</v>
      </c>
      <c r="D78" s="23" t="s">
        <v>11</v>
      </c>
      <c r="E78" s="23">
        <v>300</v>
      </c>
      <c r="F78" s="24">
        <v>1299</v>
      </c>
      <c r="G78" s="28">
        <v>305</v>
      </c>
      <c r="I78" s="128">
        <f t="shared" si="3"/>
        <v>194.85</v>
      </c>
      <c r="J78" s="129">
        <f t="shared" si="4"/>
        <v>994</v>
      </c>
      <c r="K78" s="129">
        <f t="shared" si="5"/>
        <v>305</v>
      </c>
    </row>
    <row r="79" spans="1:11" x14ac:dyDescent="0.25">
      <c r="A79" s="13">
        <v>76</v>
      </c>
      <c r="B79" s="14" t="s">
        <v>108</v>
      </c>
      <c r="C79" s="15" t="s">
        <v>109</v>
      </c>
      <c r="D79" s="23" t="s">
        <v>46</v>
      </c>
      <c r="E79" s="23">
        <v>480</v>
      </c>
      <c r="F79" s="24">
        <v>487</v>
      </c>
      <c r="G79" s="28">
        <v>215</v>
      </c>
      <c r="I79" s="128">
        <f t="shared" si="3"/>
        <v>73.05</v>
      </c>
      <c r="J79" s="129">
        <f t="shared" si="4"/>
        <v>272</v>
      </c>
      <c r="K79" s="129">
        <f t="shared" si="5"/>
        <v>215</v>
      </c>
    </row>
    <row r="80" spans="1:11" x14ac:dyDescent="0.25">
      <c r="A80" s="13">
        <v>77</v>
      </c>
      <c r="B80" s="14" t="s">
        <v>110</v>
      </c>
      <c r="C80" s="15" t="s">
        <v>109</v>
      </c>
      <c r="D80" s="23" t="s">
        <v>111</v>
      </c>
      <c r="E80" s="23">
        <v>480</v>
      </c>
      <c r="F80" s="24">
        <v>527</v>
      </c>
      <c r="G80" s="28">
        <v>235</v>
      </c>
      <c r="I80" s="128">
        <f t="shared" si="3"/>
        <v>79.05</v>
      </c>
      <c r="J80" s="129">
        <f t="shared" si="4"/>
        <v>292</v>
      </c>
      <c r="K80" s="129">
        <f t="shared" si="5"/>
        <v>235</v>
      </c>
    </row>
    <row r="81" spans="1:11" x14ac:dyDescent="0.25">
      <c r="A81" s="13">
        <v>78</v>
      </c>
      <c r="B81" s="14" t="s">
        <v>112</v>
      </c>
      <c r="C81" s="15" t="s">
        <v>113</v>
      </c>
      <c r="D81" s="23" t="s">
        <v>114</v>
      </c>
      <c r="E81" s="23">
        <v>50</v>
      </c>
      <c r="F81" s="24">
        <v>430</v>
      </c>
      <c r="G81" s="28">
        <v>185</v>
      </c>
      <c r="I81" s="128">
        <f t="shared" si="3"/>
        <v>64.5</v>
      </c>
      <c r="J81" s="129">
        <f t="shared" si="4"/>
        <v>245</v>
      </c>
      <c r="K81" s="129">
        <f t="shared" si="5"/>
        <v>185</v>
      </c>
    </row>
    <row r="82" spans="1:11" x14ac:dyDescent="0.25">
      <c r="A82" s="13">
        <v>79</v>
      </c>
      <c r="B82" s="14" t="s">
        <v>115</v>
      </c>
      <c r="C82" s="15" t="s">
        <v>116</v>
      </c>
      <c r="D82" s="23" t="s">
        <v>46</v>
      </c>
      <c r="E82" s="23">
        <v>258</v>
      </c>
      <c r="F82" s="24">
        <v>2000</v>
      </c>
      <c r="G82" s="28">
        <v>875</v>
      </c>
      <c r="I82" s="128">
        <f t="shared" si="3"/>
        <v>300</v>
      </c>
      <c r="J82" s="129">
        <f t="shared" si="4"/>
        <v>1125</v>
      </c>
      <c r="K82" s="129">
        <f t="shared" si="5"/>
        <v>875</v>
      </c>
    </row>
    <row r="83" spans="1:11" x14ac:dyDescent="0.25">
      <c r="A83" s="13">
        <v>80</v>
      </c>
      <c r="B83" s="14" t="s">
        <v>117</v>
      </c>
      <c r="C83" s="15" t="s">
        <v>118</v>
      </c>
      <c r="D83" s="23" t="s">
        <v>23</v>
      </c>
      <c r="E83" s="23">
        <v>232</v>
      </c>
      <c r="F83" s="24">
        <v>700</v>
      </c>
      <c r="G83" s="28">
        <v>255</v>
      </c>
      <c r="I83" s="128">
        <f t="shared" si="3"/>
        <v>105</v>
      </c>
      <c r="J83" s="129">
        <f t="shared" si="4"/>
        <v>445</v>
      </c>
      <c r="K83" s="129">
        <f t="shared" si="5"/>
        <v>255</v>
      </c>
    </row>
    <row r="84" spans="1:11" x14ac:dyDescent="0.25">
      <c r="A84" s="13">
        <v>81</v>
      </c>
      <c r="B84" s="14" t="s">
        <v>119</v>
      </c>
      <c r="C84" s="15" t="s">
        <v>120</v>
      </c>
      <c r="D84" s="23" t="s">
        <v>23</v>
      </c>
      <c r="E84" s="23">
        <v>232</v>
      </c>
      <c r="F84" s="24">
        <v>1050</v>
      </c>
      <c r="G84" s="28">
        <v>305</v>
      </c>
      <c r="I84" s="128">
        <f t="shared" si="3"/>
        <v>157.5</v>
      </c>
      <c r="J84" s="129">
        <f t="shared" si="4"/>
        <v>745</v>
      </c>
      <c r="K84" s="129">
        <f t="shared" si="5"/>
        <v>305</v>
      </c>
    </row>
    <row r="85" spans="1:11" x14ac:dyDescent="0.25">
      <c r="A85" s="13">
        <v>82</v>
      </c>
      <c r="B85" s="14" t="s">
        <v>121</v>
      </c>
      <c r="C85" s="15" t="s">
        <v>122</v>
      </c>
      <c r="D85" s="23" t="s">
        <v>11</v>
      </c>
      <c r="E85" s="23">
        <v>280</v>
      </c>
      <c r="F85" s="24">
        <v>750</v>
      </c>
      <c r="G85" s="28">
        <v>220</v>
      </c>
      <c r="I85" s="128">
        <f t="shared" si="3"/>
        <v>112.5</v>
      </c>
      <c r="J85" s="129">
        <f t="shared" si="4"/>
        <v>530</v>
      </c>
      <c r="K85" s="129">
        <f t="shared" si="5"/>
        <v>220</v>
      </c>
    </row>
    <row r="86" spans="1:11" x14ac:dyDescent="0.25">
      <c r="A86" s="13">
        <v>83</v>
      </c>
      <c r="B86" s="14" t="s">
        <v>123</v>
      </c>
      <c r="C86" s="15" t="s">
        <v>124</v>
      </c>
      <c r="D86" s="23" t="s">
        <v>50</v>
      </c>
      <c r="E86" s="23">
        <v>425</v>
      </c>
      <c r="F86" s="24">
        <v>950</v>
      </c>
      <c r="G86" s="28">
        <v>375</v>
      </c>
      <c r="I86" s="128">
        <f t="shared" si="3"/>
        <v>142.5</v>
      </c>
      <c r="J86" s="129">
        <f t="shared" si="4"/>
        <v>575</v>
      </c>
      <c r="K86" s="129">
        <f t="shared" si="5"/>
        <v>375</v>
      </c>
    </row>
    <row r="87" spans="1:11" x14ac:dyDescent="0.25">
      <c r="A87" s="13">
        <v>84</v>
      </c>
      <c r="B87" s="14" t="s">
        <v>125</v>
      </c>
      <c r="C87" s="15" t="s">
        <v>126</v>
      </c>
      <c r="D87" s="23" t="s">
        <v>12</v>
      </c>
      <c r="E87" s="23">
        <v>200</v>
      </c>
      <c r="F87" s="24">
        <v>530</v>
      </c>
      <c r="G87" s="28">
        <v>175</v>
      </c>
      <c r="I87" s="128">
        <f t="shared" si="3"/>
        <v>79.5</v>
      </c>
      <c r="J87" s="129">
        <f t="shared" si="4"/>
        <v>355</v>
      </c>
      <c r="K87" s="129">
        <f t="shared" si="5"/>
        <v>175</v>
      </c>
    </row>
    <row r="88" spans="1:11" x14ac:dyDescent="0.25">
      <c r="A88" s="13">
        <v>85</v>
      </c>
      <c r="B88" s="14" t="s">
        <v>127</v>
      </c>
      <c r="C88" s="15" t="s">
        <v>126</v>
      </c>
      <c r="D88" s="23" t="s">
        <v>12</v>
      </c>
      <c r="E88" s="23">
        <v>200</v>
      </c>
      <c r="F88" s="24">
        <v>850</v>
      </c>
      <c r="G88" s="28">
        <v>275</v>
      </c>
      <c r="I88" s="128">
        <f t="shared" si="3"/>
        <v>127.5</v>
      </c>
      <c r="J88" s="129">
        <f t="shared" si="4"/>
        <v>575</v>
      </c>
      <c r="K88" s="129">
        <f t="shared" si="5"/>
        <v>275</v>
      </c>
    </row>
    <row r="89" spans="1:11" x14ac:dyDescent="0.25">
      <c r="A89" s="13">
        <v>86</v>
      </c>
      <c r="B89" s="14" t="s">
        <v>128</v>
      </c>
      <c r="C89" s="15" t="s">
        <v>129</v>
      </c>
      <c r="D89" s="23" t="s">
        <v>12</v>
      </c>
      <c r="E89" s="23"/>
      <c r="F89" s="24">
        <v>5500</v>
      </c>
      <c r="G89" s="28">
        <v>1900</v>
      </c>
      <c r="I89" s="128">
        <f t="shared" si="3"/>
        <v>825</v>
      </c>
      <c r="J89" s="129">
        <f t="shared" si="4"/>
        <v>3600</v>
      </c>
      <c r="K89" s="129">
        <f t="shared" si="5"/>
        <v>1900</v>
      </c>
    </row>
    <row r="90" spans="1:11" x14ac:dyDescent="0.25">
      <c r="A90" s="13">
        <v>87</v>
      </c>
      <c r="B90" s="14" t="s">
        <v>130</v>
      </c>
      <c r="C90" s="15" t="s">
        <v>131</v>
      </c>
      <c r="D90" s="23" t="s">
        <v>12</v>
      </c>
      <c r="E90" s="23"/>
      <c r="F90" s="24">
        <v>3500</v>
      </c>
      <c r="G90" s="28">
        <v>1200</v>
      </c>
      <c r="I90" s="128">
        <f t="shared" si="3"/>
        <v>525</v>
      </c>
      <c r="J90" s="129">
        <f t="shared" si="4"/>
        <v>2300</v>
      </c>
      <c r="K90" s="129">
        <f t="shared" si="5"/>
        <v>1200</v>
      </c>
    </row>
    <row r="91" spans="1:11" x14ac:dyDescent="0.25">
      <c r="A91" s="13">
        <v>88</v>
      </c>
      <c r="B91" s="14" t="s">
        <v>132</v>
      </c>
      <c r="C91" s="15" t="s">
        <v>133</v>
      </c>
      <c r="D91" s="23" t="s">
        <v>29</v>
      </c>
      <c r="E91" s="23">
        <v>120</v>
      </c>
      <c r="F91" s="24">
        <v>2400</v>
      </c>
      <c r="G91" s="28">
        <v>800</v>
      </c>
      <c r="I91" s="128">
        <f t="shared" si="3"/>
        <v>360</v>
      </c>
      <c r="J91" s="129">
        <f t="shared" si="4"/>
        <v>1600</v>
      </c>
      <c r="K91" s="129">
        <f t="shared" si="5"/>
        <v>800</v>
      </c>
    </row>
    <row r="92" spans="1:11" x14ac:dyDescent="0.25">
      <c r="A92" s="13">
        <v>89</v>
      </c>
      <c r="B92" s="14" t="s">
        <v>134</v>
      </c>
      <c r="C92" s="15" t="s">
        <v>135</v>
      </c>
      <c r="D92" s="23" t="s">
        <v>11</v>
      </c>
      <c r="E92" s="23">
        <v>232</v>
      </c>
      <c r="F92" s="24">
        <v>750</v>
      </c>
      <c r="G92" s="28">
        <v>295</v>
      </c>
      <c r="I92" s="128">
        <f t="shared" si="3"/>
        <v>112.5</v>
      </c>
      <c r="J92" s="129">
        <f t="shared" si="4"/>
        <v>455</v>
      </c>
      <c r="K92" s="129">
        <f t="shared" si="5"/>
        <v>295</v>
      </c>
    </row>
    <row r="93" spans="1:11" x14ac:dyDescent="0.25">
      <c r="A93" s="13">
        <v>90</v>
      </c>
      <c r="B93" s="14" t="s">
        <v>136</v>
      </c>
      <c r="C93" s="15" t="s">
        <v>137</v>
      </c>
      <c r="D93" s="23" t="s">
        <v>50</v>
      </c>
      <c r="E93" s="23">
        <v>360</v>
      </c>
      <c r="F93" s="24">
        <v>230</v>
      </c>
      <c r="G93" s="28">
        <v>78</v>
      </c>
      <c r="I93" s="128">
        <f t="shared" si="3"/>
        <v>34.5</v>
      </c>
      <c r="J93" s="129">
        <f t="shared" si="4"/>
        <v>152</v>
      </c>
      <c r="K93" s="129">
        <f t="shared" si="5"/>
        <v>78</v>
      </c>
    </row>
    <row r="94" spans="1:11" x14ac:dyDescent="0.25">
      <c r="A94" s="13">
        <v>91</v>
      </c>
      <c r="B94" s="14" t="s">
        <v>138</v>
      </c>
      <c r="C94" s="15" t="s">
        <v>137</v>
      </c>
      <c r="D94" s="23" t="s">
        <v>50</v>
      </c>
      <c r="E94" s="23">
        <v>360</v>
      </c>
      <c r="F94" s="24">
        <v>330</v>
      </c>
      <c r="G94" s="28">
        <v>90</v>
      </c>
      <c r="I94" s="128">
        <f t="shared" si="3"/>
        <v>49.5</v>
      </c>
      <c r="J94" s="129">
        <f t="shared" si="4"/>
        <v>240</v>
      </c>
      <c r="K94" s="129">
        <f t="shared" si="5"/>
        <v>90</v>
      </c>
    </row>
    <row r="95" spans="1:11" x14ac:dyDescent="0.25">
      <c r="A95" s="13">
        <v>92</v>
      </c>
      <c r="B95" s="14" t="s">
        <v>139</v>
      </c>
      <c r="C95" s="15" t="s">
        <v>140</v>
      </c>
      <c r="D95" s="23" t="s">
        <v>46</v>
      </c>
      <c r="E95" s="23">
        <v>360</v>
      </c>
      <c r="F95" s="24">
        <v>540</v>
      </c>
      <c r="G95" s="29">
        <v>115</v>
      </c>
      <c r="I95" s="128">
        <f t="shared" si="3"/>
        <v>81</v>
      </c>
      <c r="J95" s="129">
        <f t="shared" si="4"/>
        <v>425</v>
      </c>
      <c r="K95" s="129">
        <f t="shared" si="5"/>
        <v>115</v>
      </c>
    </row>
    <row r="96" spans="1:11" x14ac:dyDescent="0.25">
      <c r="A96" s="13">
        <v>93</v>
      </c>
      <c r="B96" s="14" t="s">
        <v>141</v>
      </c>
      <c r="C96" s="15" t="s">
        <v>140</v>
      </c>
      <c r="D96" s="23" t="s">
        <v>142</v>
      </c>
      <c r="E96" s="23">
        <v>90</v>
      </c>
      <c r="F96" s="24">
        <v>570</v>
      </c>
      <c r="G96" s="28">
        <v>135</v>
      </c>
      <c r="I96" s="128">
        <f t="shared" si="3"/>
        <v>85.5</v>
      </c>
      <c r="J96" s="129">
        <f t="shared" si="4"/>
        <v>435</v>
      </c>
      <c r="K96" s="129">
        <f t="shared" si="5"/>
        <v>135</v>
      </c>
    </row>
    <row r="97" spans="1:11" x14ac:dyDescent="0.25">
      <c r="A97" s="13">
        <v>94</v>
      </c>
      <c r="B97" s="14" t="s">
        <v>143</v>
      </c>
      <c r="C97" s="15" t="s">
        <v>144</v>
      </c>
      <c r="D97" s="23" t="s">
        <v>12</v>
      </c>
      <c r="E97" s="23">
        <v>144</v>
      </c>
      <c r="F97" s="24">
        <v>2400</v>
      </c>
      <c r="G97" s="28">
        <v>980</v>
      </c>
      <c r="I97" s="128">
        <f t="shared" si="3"/>
        <v>360</v>
      </c>
      <c r="J97" s="129">
        <f t="shared" si="4"/>
        <v>1420</v>
      </c>
      <c r="K97" s="129">
        <f t="shared" si="5"/>
        <v>980</v>
      </c>
    </row>
    <row r="98" spans="1:11" x14ac:dyDescent="0.25">
      <c r="A98" s="13">
        <v>95</v>
      </c>
      <c r="B98" s="14" t="s">
        <v>145</v>
      </c>
      <c r="C98" s="15" t="s">
        <v>146</v>
      </c>
      <c r="D98" s="23" t="s">
        <v>50</v>
      </c>
      <c r="E98" s="23">
        <v>580</v>
      </c>
      <c r="F98" s="24">
        <v>90</v>
      </c>
      <c r="G98" s="28">
        <v>340</v>
      </c>
      <c r="I98" s="128">
        <f t="shared" si="3"/>
        <v>13.5</v>
      </c>
      <c r="J98" s="129">
        <f t="shared" si="4"/>
        <v>-250</v>
      </c>
      <c r="K98" s="129">
        <f t="shared" si="5"/>
        <v>340</v>
      </c>
    </row>
    <row r="99" spans="1:11" x14ac:dyDescent="0.25">
      <c r="A99" s="13">
        <v>96</v>
      </c>
      <c r="B99" s="14" t="s">
        <v>147</v>
      </c>
      <c r="C99" s="15" t="s">
        <v>148</v>
      </c>
      <c r="D99" s="23" t="s">
        <v>11</v>
      </c>
      <c r="E99" s="23">
        <v>360</v>
      </c>
      <c r="F99" s="24">
        <v>2000</v>
      </c>
      <c r="G99" s="28">
        <v>700</v>
      </c>
      <c r="I99" s="128">
        <f t="shared" si="3"/>
        <v>300</v>
      </c>
      <c r="J99" s="129">
        <f t="shared" si="4"/>
        <v>1300</v>
      </c>
      <c r="K99" s="129">
        <f t="shared" si="5"/>
        <v>700</v>
      </c>
    </row>
    <row r="100" spans="1:11" x14ac:dyDescent="0.25">
      <c r="A100" s="13">
        <v>97</v>
      </c>
      <c r="B100" s="14" t="s">
        <v>149</v>
      </c>
      <c r="C100" s="15" t="s">
        <v>150</v>
      </c>
      <c r="D100" s="23" t="s">
        <v>11</v>
      </c>
      <c r="E100" s="23">
        <v>280</v>
      </c>
      <c r="F100" s="24">
        <v>510</v>
      </c>
      <c r="G100" s="28">
        <v>120</v>
      </c>
      <c r="I100" s="128">
        <f t="shared" si="3"/>
        <v>76.5</v>
      </c>
      <c r="J100" s="129">
        <f t="shared" si="4"/>
        <v>390</v>
      </c>
      <c r="K100" s="129">
        <f t="shared" si="5"/>
        <v>120</v>
      </c>
    </row>
    <row r="101" spans="1:11" x14ac:dyDescent="0.25">
      <c r="A101" s="13">
        <v>98</v>
      </c>
      <c r="B101" s="14" t="s">
        <v>151</v>
      </c>
      <c r="C101" s="15" t="s">
        <v>152</v>
      </c>
      <c r="D101" s="23" t="s">
        <v>93</v>
      </c>
      <c r="E101" s="23">
        <v>200</v>
      </c>
      <c r="F101" s="24">
        <v>781.92</v>
      </c>
      <c r="G101" s="28">
        <v>135</v>
      </c>
      <c r="I101" s="128">
        <f t="shared" si="3"/>
        <v>117.28799999999998</v>
      </c>
      <c r="J101" s="129">
        <f t="shared" si="4"/>
        <v>646.91999999999996</v>
      </c>
      <c r="K101" s="129">
        <f t="shared" si="5"/>
        <v>135</v>
      </c>
    </row>
    <row r="102" spans="1:11" x14ac:dyDescent="0.25">
      <c r="A102" s="13">
        <v>99</v>
      </c>
      <c r="B102" s="14" t="s">
        <v>153</v>
      </c>
      <c r="C102" s="15" t="s">
        <v>154</v>
      </c>
      <c r="D102" s="23" t="s">
        <v>50</v>
      </c>
      <c r="E102" s="23"/>
      <c r="F102" s="24">
        <v>2200</v>
      </c>
      <c r="G102" s="28"/>
      <c r="I102" s="128">
        <f t="shared" si="3"/>
        <v>330</v>
      </c>
      <c r="J102" s="129">
        <f t="shared" si="4"/>
        <v>2200</v>
      </c>
      <c r="K102" s="129">
        <f t="shared" si="5"/>
        <v>0</v>
      </c>
    </row>
    <row r="103" spans="1:11" x14ac:dyDescent="0.25">
      <c r="A103" s="13">
        <v>100</v>
      </c>
      <c r="B103" s="14" t="s">
        <v>155</v>
      </c>
      <c r="C103" s="15" t="s">
        <v>154</v>
      </c>
      <c r="D103" s="23" t="s">
        <v>50</v>
      </c>
      <c r="E103" s="23"/>
      <c r="F103" s="24">
        <v>1450</v>
      </c>
      <c r="G103" s="28"/>
      <c r="I103" s="128">
        <f t="shared" si="3"/>
        <v>217.5</v>
      </c>
      <c r="J103" s="129">
        <f t="shared" si="4"/>
        <v>1450</v>
      </c>
      <c r="K103" s="129">
        <f t="shared" si="5"/>
        <v>0</v>
      </c>
    </row>
    <row r="104" spans="1:11" x14ac:dyDescent="0.25">
      <c r="A104" s="13">
        <v>101</v>
      </c>
      <c r="B104" s="14" t="s">
        <v>156</v>
      </c>
      <c r="C104" s="15" t="s">
        <v>154</v>
      </c>
      <c r="D104" s="23" t="s">
        <v>12</v>
      </c>
      <c r="E104" s="23"/>
      <c r="F104" s="24">
        <v>900</v>
      </c>
      <c r="G104" s="28"/>
      <c r="I104" s="128">
        <f t="shared" si="3"/>
        <v>135</v>
      </c>
      <c r="J104" s="129">
        <f t="shared" si="4"/>
        <v>900</v>
      </c>
      <c r="K104" s="129">
        <f t="shared" si="5"/>
        <v>0</v>
      </c>
    </row>
    <row r="105" spans="1:11" x14ac:dyDescent="0.25">
      <c r="A105" s="13">
        <v>102</v>
      </c>
      <c r="B105" s="14" t="s">
        <v>157</v>
      </c>
      <c r="C105" s="15" t="s">
        <v>158</v>
      </c>
      <c r="D105" s="23" t="s">
        <v>50</v>
      </c>
      <c r="E105" s="23"/>
      <c r="F105" s="24">
        <v>1250</v>
      </c>
      <c r="G105" s="28"/>
      <c r="I105" s="128">
        <f t="shared" si="3"/>
        <v>187.5</v>
      </c>
      <c r="J105" s="129">
        <f t="shared" si="4"/>
        <v>1250</v>
      </c>
      <c r="K105" s="129">
        <f t="shared" si="5"/>
        <v>0</v>
      </c>
    </row>
    <row r="106" spans="1:11" x14ac:dyDescent="0.25">
      <c r="A106" s="13">
        <v>103</v>
      </c>
      <c r="B106" s="14" t="s">
        <v>159</v>
      </c>
      <c r="C106" s="15" t="s">
        <v>160</v>
      </c>
      <c r="D106" s="23" t="s">
        <v>11</v>
      </c>
      <c r="E106" s="23"/>
      <c r="F106" s="24">
        <v>430</v>
      </c>
      <c r="G106" s="28"/>
      <c r="I106" s="128">
        <f t="shared" si="3"/>
        <v>64.5</v>
      </c>
      <c r="J106" s="129">
        <f t="shared" si="4"/>
        <v>430</v>
      </c>
      <c r="K106" s="129">
        <f t="shared" si="5"/>
        <v>0</v>
      </c>
    </row>
    <row r="107" spans="1:11" x14ac:dyDescent="0.25">
      <c r="A107" s="13">
        <v>104</v>
      </c>
      <c r="B107" s="14" t="s">
        <v>161</v>
      </c>
      <c r="C107" s="15" t="s">
        <v>162</v>
      </c>
      <c r="D107" s="23" t="s">
        <v>23</v>
      </c>
      <c r="E107" s="23"/>
      <c r="F107" s="24">
        <v>480</v>
      </c>
      <c r="G107" s="28"/>
      <c r="I107" s="128">
        <f t="shared" si="3"/>
        <v>72</v>
      </c>
      <c r="J107" s="129">
        <f t="shared" si="4"/>
        <v>480</v>
      </c>
      <c r="K107" s="129">
        <f t="shared" si="5"/>
        <v>0</v>
      </c>
    </row>
    <row r="108" spans="1:11" x14ac:dyDescent="0.25">
      <c r="A108" s="13">
        <v>105</v>
      </c>
      <c r="B108" s="14" t="s">
        <v>163</v>
      </c>
      <c r="C108" s="15" t="s">
        <v>162</v>
      </c>
      <c r="D108" s="23" t="s">
        <v>23</v>
      </c>
      <c r="E108" s="23"/>
      <c r="F108" s="24">
        <v>650</v>
      </c>
      <c r="G108" s="28"/>
      <c r="I108" s="128">
        <f t="shared" si="3"/>
        <v>97.5</v>
      </c>
      <c r="J108" s="129">
        <f t="shared" si="4"/>
        <v>650</v>
      </c>
      <c r="K108" s="129">
        <f t="shared" si="5"/>
        <v>0</v>
      </c>
    </row>
    <row r="109" spans="1:11" ht="30" x14ac:dyDescent="0.25">
      <c r="A109" s="13">
        <v>106</v>
      </c>
      <c r="B109" s="14" t="s">
        <v>164</v>
      </c>
      <c r="C109" s="30" t="s">
        <v>165</v>
      </c>
      <c r="D109" s="23" t="s">
        <v>166</v>
      </c>
      <c r="E109" s="23"/>
      <c r="F109" s="24">
        <v>790</v>
      </c>
      <c r="G109" s="28"/>
      <c r="I109" s="128">
        <f t="shared" si="3"/>
        <v>118.5</v>
      </c>
      <c r="J109" s="129">
        <f t="shared" si="4"/>
        <v>790</v>
      </c>
      <c r="K109" s="129">
        <f t="shared" si="5"/>
        <v>0</v>
      </c>
    </row>
    <row r="110" spans="1:11" x14ac:dyDescent="0.25">
      <c r="A110" s="13">
        <v>107</v>
      </c>
      <c r="B110" s="14" t="s">
        <v>167</v>
      </c>
      <c r="C110" s="15" t="s">
        <v>168</v>
      </c>
      <c r="D110" s="23" t="s">
        <v>50</v>
      </c>
      <c r="E110" s="23"/>
      <c r="F110" s="24"/>
      <c r="G110" s="28"/>
      <c r="I110" s="128">
        <f t="shared" si="3"/>
        <v>0</v>
      </c>
      <c r="J110" s="129">
        <f t="shared" si="4"/>
        <v>0</v>
      </c>
      <c r="K110" s="129">
        <f t="shared" si="5"/>
        <v>0</v>
      </c>
    </row>
    <row r="111" spans="1:11" x14ac:dyDescent="0.25">
      <c r="A111" s="13">
        <v>108</v>
      </c>
      <c r="B111" s="14" t="s">
        <v>169</v>
      </c>
      <c r="C111" s="15" t="s">
        <v>170</v>
      </c>
      <c r="D111" s="23" t="s">
        <v>11</v>
      </c>
      <c r="E111" s="23"/>
      <c r="F111" s="24"/>
      <c r="G111" s="28"/>
      <c r="I111" s="128">
        <f t="shared" si="3"/>
        <v>0</v>
      </c>
      <c r="J111" s="129">
        <f t="shared" si="4"/>
        <v>0</v>
      </c>
      <c r="K111" s="129">
        <f t="shared" si="5"/>
        <v>0</v>
      </c>
    </row>
    <row r="112" spans="1:11" x14ac:dyDescent="0.25">
      <c r="A112" s="13">
        <v>109</v>
      </c>
      <c r="B112" s="14" t="s">
        <v>171</v>
      </c>
      <c r="C112" s="15" t="s">
        <v>172</v>
      </c>
      <c r="D112" s="23" t="s">
        <v>11</v>
      </c>
      <c r="E112" s="23"/>
      <c r="F112" s="24"/>
      <c r="G112" s="28"/>
      <c r="I112" s="128">
        <f t="shared" si="3"/>
        <v>0</v>
      </c>
      <c r="J112" s="129">
        <f t="shared" si="4"/>
        <v>0</v>
      </c>
      <c r="K112" s="129">
        <f t="shared" si="5"/>
        <v>0</v>
      </c>
    </row>
    <row r="113" spans="1:11" ht="15.75" thickBot="1" x14ac:dyDescent="0.3">
      <c r="A113" s="31"/>
      <c r="B113" s="32"/>
      <c r="C113" s="33"/>
      <c r="D113" s="34"/>
      <c r="E113" s="34"/>
      <c r="F113" s="35"/>
      <c r="G113" s="36"/>
      <c r="I113" s="128">
        <f t="shared" si="3"/>
        <v>0</v>
      </c>
      <c r="J113" s="129">
        <f t="shared" si="4"/>
        <v>0</v>
      </c>
      <c r="K113" s="129">
        <f t="shared" si="5"/>
        <v>0</v>
      </c>
    </row>
    <row r="114" spans="1:11" ht="28.5" thickBot="1" x14ac:dyDescent="0.3">
      <c r="A114" s="125" t="s">
        <v>173</v>
      </c>
      <c r="B114" s="126"/>
      <c r="C114" s="126"/>
      <c r="D114" s="126"/>
      <c r="E114" s="126"/>
      <c r="F114" s="126"/>
      <c r="G114" s="127"/>
      <c r="I114" s="128">
        <f t="shared" si="3"/>
        <v>0</v>
      </c>
      <c r="J114" s="129">
        <f t="shared" si="4"/>
        <v>0</v>
      </c>
      <c r="K114" s="129">
        <f t="shared" si="5"/>
        <v>0</v>
      </c>
    </row>
    <row r="115" spans="1:11" s="41" customFormat="1" ht="33.75" thickBot="1" x14ac:dyDescent="0.3">
      <c r="A115" s="37" t="s">
        <v>2</v>
      </c>
      <c r="B115" s="38" t="s">
        <v>3</v>
      </c>
      <c r="C115" s="38" t="s">
        <v>4</v>
      </c>
      <c r="D115" s="38" t="s">
        <v>5</v>
      </c>
      <c r="E115" s="3" t="s">
        <v>6</v>
      </c>
      <c r="F115" s="38" t="s">
        <v>7</v>
      </c>
      <c r="G115" s="39" t="s">
        <v>8</v>
      </c>
      <c r="H115" s="40"/>
      <c r="I115" s="128" t="e">
        <f t="shared" si="3"/>
        <v>#VALUE!</v>
      </c>
      <c r="J115" s="129" t="e">
        <f t="shared" si="4"/>
        <v>#VALUE!</v>
      </c>
      <c r="K115" s="129" t="e">
        <f t="shared" si="5"/>
        <v>#VALUE!</v>
      </c>
    </row>
    <row r="116" spans="1:11" ht="45" x14ac:dyDescent="0.25">
      <c r="A116" s="42">
        <v>110</v>
      </c>
      <c r="B116" s="9" t="s">
        <v>174</v>
      </c>
      <c r="C116" s="43" t="s">
        <v>175</v>
      </c>
      <c r="D116" s="44" t="s">
        <v>11</v>
      </c>
      <c r="E116" s="44">
        <v>154</v>
      </c>
      <c r="F116" s="45">
        <v>680</v>
      </c>
      <c r="G116" s="46">
        <v>170</v>
      </c>
      <c r="I116" s="128">
        <f t="shared" si="3"/>
        <v>102</v>
      </c>
      <c r="J116" s="129">
        <f t="shared" si="4"/>
        <v>510</v>
      </c>
      <c r="K116" s="129">
        <f t="shared" si="5"/>
        <v>170</v>
      </c>
    </row>
    <row r="117" spans="1:11" ht="45" x14ac:dyDescent="0.25">
      <c r="A117" s="47">
        <v>111</v>
      </c>
      <c r="B117" s="27" t="s">
        <v>176</v>
      </c>
      <c r="C117" s="48" t="s">
        <v>177</v>
      </c>
      <c r="D117" s="49" t="s">
        <v>114</v>
      </c>
      <c r="E117" s="49">
        <v>120</v>
      </c>
      <c r="F117" s="50">
        <v>350</v>
      </c>
      <c r="G117" s="51">
        <v>80</v>
      </c>
      <c r="I117" s="128">
        <f t="shared" si="3"/>
        <v>52.5</v>
      </c>
      <c r="J117" s="129">
        <f t="shared" si="4"/>
        <v>270</v>
      </c>
      <c r="K117" s="129">
        <f t="shared" si="5"/>
        <v>80</v>
      </c>
    </row>
    <row r="118" spans="1:11" ht="30.75" thickBot="1" x14ac:dyDescent="0.3">
      <c r="A118" s="47">
        <v>112</v>
      </c>
      <c r="B118" s="15" t="s">
        <v>178</v>
      </c>
      <c r="C118" s="48" t="s">
        <v>179</v>
      </c>
      <c r="D118" s="49" t="s">
        <v>11</v>
      </c>
      <c r="E118" s="49">
        <v>152</v>
      </c>
      <c r="F118" s="50">
        <v>610</v>
      </c>
      <c r="G118" s="51">
        <v>170</v>
      </c>
      <c r="I118" s="128">
        <f t="shared" si="3"/>
        <v>91.5</v>
      </c>
      <c r="J118" s="129">
        <f t="shared" si="4"/>
        <v>440</v>
      </c>
      <c r="K118" s="129">
        <f t="shared" si="5"/>
        <v>170</v>
      </c>
    </row>
    <row r="119" spans="1:11" ht="30" x14ac:dyDescent="0.25">
      <c r="A119" s="42">
        <v>113</v>
      </c>
      <c r="B119" s="15" t="s">
        <v>180</v>
      </c>
      <c r="C119" s="48" t="s">
        <v>179</v>
      </c>
      <c r="D119" s="49" t="s">
        <v>114</v>
      </c>
      <c r="E119" s="49">
        <v>120</v>
      </c>
      <c r="F119" s="50">
        <v>320</v>
      </c>
      <c r="G119" s="51">
        <v>75</v>
      </c>
      <c r="I119" s="128">
        <f t="shared" si="3"/>
        <v>48</v>
      </c>
      <c r="J119" s="129">
        <f t="shared" si="4"/>
        <v>245</v>
      </c>
      <c r="K119" s="129">
        <f t="shared" si="5"/>
        <v>75</v>
      </c>
    </row>
    <row r="120" spans="1:11" ht="45" x14ac:dyDescent="0.25">
      <c r="A120" s="47">
        <v>114</v>
      </c>
      <c r="B120" s="15" t="s">
        <v>181</v>
      </c>
      <c r="C120" s="48" t="s">
        <v>182</v>
      </c>
      <c r="D120" s="52" t="s">
        <v>183</v>
      </c>
      <c r="E120" s="52">
        <v>54</v>
      </c>
      <c r="F120" s="50">
        <v>500</v>
      </c>
      <c r="G120" s="51">
        <v>170</v>
      </c>
      <c r="I120" s="128">
        <f t="shared" si="3"/>
        <v>75</v>
      </c>
      <c r="J120" s="129">
        <f t="shared" si="4"/>
        <v>330</v>
      </c>
      <c r="K120" s="129">
        <f t="shared" si="5"/>
        <v>170</v>
      </c>
    </row>
    <row r="121" spans="1:11" ht="15.75" thickBot="1" x14ac:dyDescent="0.3">
      <c r="A121" s="47">
        <v>115</v>
      </c>
      <c r="B121" s="15" t="s">
        <v>184</v>
      </c>
      <c r="C121" s="53" t="s">
        <v>185</v>
      </c>
      <c r="D121" s="49" t="s">
        <v>114</v>
      </c>
      <c r="E121" s="49">
        <v>120</v>
      </c>
      <c r="F121" s="50">
        <v>310</v>
      </c>
      <c r="G121" s="51">
        <v>80</v>
      </c>
      <c r="I121" s="128">
        <f t="shared" si="3"/>
        <v>46.5</v>
      </c>
      <c r="J121" s="129">
        <f t="shared" si="4"/>
        <v>230</v>
      </c>
      <c r="K121" s="129">
        <f t="shared" si="5"/>
        <v>80</v>
      </c>
    </row>
    <row r="122" spans="1:11" ht="45" x14ac:dyDescent="0.25">
      <c r="A122" s="42">
        <v>116</v>
      </c>
      <c r="B122" s="15" t="s">
        <v>186</v>
      </c>
      <c r="C122" s="48" t="s">
        <v>187</v>
      </c>
      <c r="D122" s="54" t="s">
        <v>183</v>
      </c>
      <c r="E122" s="52">
        <v>94</v>
      </c>
      <c r="F122" s="50">
        <v>450</v>
      </c>
      <c r="G122" s="51">
        <v>110</v>
      </c>
      <c r="I122" s="128">
        <f t="shared" si="3"/>
        <v>67.5</v>
      </c>
      <c r="J122" s="129">
        <f t="shared" si="4"/>
        <v>340</v>
      </c>
      <c r="K122" s="129">
        <f t="shared" si="5"/>
        <v>110</v>
      </c>
    </row>
    <row r="123" spans="1:11" ht="45" x14ac:dyDescent="0.25">
      <c r="A123" s="47">
        <v>117</v>
      </c>
      <c r="B123" s="15" t="s">
        <v>188</v>
      </c>
      <c r="C123" s="55" t="s">
        <v>189</v>
      </c>
      <c r="D123" s="52" t="s">
        <v>183</v>
      </c>
      <c r="E123" s="56"/>
      <c r="F123" s="50">
        <v>450</v>
      </c>
      <c r="G123" s="51">
        <v>115</v>
      </c>
      <c r="I123" s="128">
        <f t="shared" si="3"/>
        <v>67.5</v>
      </c>
      <c r="J123" s="129">
        <f t="shared" si="4"/>
        <v>335</v>
      </c>
      <c r="K123" s="129">
        <f t="shared" si="5"/>
        <v>115</v>
      </c>
    </row>
    <row r="124" spans="1:11" ht="45.75" thickBot="1" x14ac:dyDescent="0.3">
      <c r="A124" s="47">
        <v>118</v>
      </c>
      <c r="B124" s="15" t="s">
        <v>190</v>
      </c>
      <c r="C124" s="48" t="s">
        <v>191</v>
      </c>
      <c r="D124" s="57" t="s">
        <v>114</v>
      </c>
      <c r="E124" s="49">
        <v>120</v>
      </c>
      <c r="F124" s="50">
        <v>290</v>
      </c>
      <c r="G124" s="51">
        <v>75</v>
      </c>
      <c r="I124" s="128">
        <f t="shared" si="3"/>
        <v>43.5</v>
      </c>
      <c r="J124" s="129">
        <f t="shared" si="4"/>
        <v>215</v>
      </c>
      <c r="K124" s="129">
        <f t="shared" si="5"/>
        <v>75</v>
      </c>
    </row>
    <row r="125" spans="1:11" ht="45" x14ac:dyDescent="0.25">
      <c r="A125" s="42">
        <v>119</v>
      </c>
      <c r="B125" s="30" t="s">
        <v>192</v>
      </c>
      <c r="C125" s="30" t="s">
        <v>193</v>
      </c>
      <c r="D125" s="49" t="s">
        <v>114</v>
      </c>
      <c r="E125" s="49">
        <v>120</v>
      </c>
      <c r="F125" s="50">
        <v>300</v>
      </c>
      <c r="G125" s="51">
        <v>75</v>
      </c>
      <c r="I125" s="128">
        <f t="shared" si="3"/>
        <v>45</v>
      </c>
      <c r="J125" s="129">
        <f t="shared" si="4"/>
        <v>225</v>
      </c>
      <c r="K125" s="129">
        <f t="shared" si="5"/>
        <v>75</v>
      </c>
    </row>
    <row r="126" spans="1:11" ht="105" x14ac:dyDescent="0.25">
      <c r="A126" s="47">
        <v>120</v>
      </c>
      <c r="B126" s="30" t="s">
        <v>194</v>
      </c>
      <c r="C126" s="58" t="s">
        <v>348</v>
      </c>
      <c r="D126" s="16" t="s">
        <v>114</v>
      </c>
      <c r="E126" s="16">
        <v>100</v>
      </c>
      <c r="F126" s="17">
        <v>260</v>
      </c>
      <c r="G126" s="59">
        <v>90</v>
      </c>
      <c r="I126" s="128">
        <f t="shared" si="3"/>
        <v>39</v>
      </c>
      <c r="J126" s="129">
        <f t="shared" si="4"/>
        <v>170</v>
      </c>
      <c r="K126" s="129">
        <f t="shared" si="5"/>
        <v>90</v>
      </c>
    </row>
    <row r="127" spans="1:11" ht="75" x14ac:dyDescent="0.25">
      <c r="A127" s="47">
        <v>121</v>
      </c>
      <c r="B127" s="60" t="s">
        <v>349</v>
      </c>
      <c r="C127" s="58" t="s">
        <v>350</v>
      </c>
      <c r="D127" s="16" t="s">
        <v>19</v>
      </c>
      <c r="E127" s="16">
        <v>150</v>
      </c>
      <c r="F127" s="17">
        <v>760</v>
      </c>
      <c r="G127" s="51">
        <v>160</v>
      </c>
      <c r="I127" s="128">
        <f t="shared" si="3"/>
        <v>114</v>
      </c>
      <c r="J127" s="129">
        <f t="shared" si="4"/>
        <v>600</v>
      </c>
      <c r="K127" s="129">
        <f t="shared" si="5"/>
        <v>160</v>
      </c>
    </row>
    <row r="128" spans="1:11" ht="30" x14ac:dyDescent="0.25">
      <c r="A128" s="47">
        <v>122</v>
      </c>
      <c r="B128" s="30" t="s">
        <v>351</v>
      </c>
      <c r="C128" s="58" t="s">
        <v>352</v>
      </c>
      <c r="D128" s="16" t="s">
        <v>25</v>
      </c>
      <c r="E128" s="16">
        <v>300</v>
      </c>
      <c r="F128" s="17">
        <v>350</v>
      </c>
      <c r="G128" s="51">
        <v>145</v>
      </c>
      <c r="I128" s="128">
        <f t="shared" si="3"/>
        <v>52.5</v>
      </c>
      <c r="J128" s="129">
        <f t="shared" si="4"/>
        <v>205</v>
      </c>
      <c r="K128" s="129">
        <f t="shared" si="5"/>
        <v>145</v>
      </c>
    </row>
    <row r="129" spans="1:11" ht="60" x14ac:dyDescent="0.25">
      <c r="A129" s="47">
        <v>123</v>
      </c>
      <c r="B129" s="30" t="s">
        <v>353</v>
      </c>
      <c r="C129" s="58" t="s">
        <v>354</v>
      </c>
      <c r="D129" s="16" t="s">
        <v>20</v>
      </c>
      <c r="E129" s="16">
        <v>200</v>
      </c>
      <c r="F129" s="17">
        <v>950</v>
      </c>
      <c r="G129" s="51">
        <v>325</v>
      </c>
      <c r="I129" s="128">
        <f t="shared" si="3"/>
        <v>142.5</v>
      </c>
      <c r="J129" s="129">
        <f t="shared" si="4"/>
        <v>625</v>
      </c>
      <c r="K129" s="129">
        <f t="shared" si="5"/>
        <v>325</v>
      </c>
    </row>
    <row r="130" spans="1:11" ht="30" x14ac:dyDescent="0.25">
      <c r="A130" s="47">
        <v>124</v>
      </c>
      <c r="B130" s="30" t="s">
        <v>355</v>
      </c>
      <c r="C130" s="58" t="s">
        <v>356</v>
      </c>
      <c r="D130" s="16" t="s">
        <v>20</v>
      </c>
      <c r="E130" s="16">
        <v>252</v>
      </c>
      <c r="F130" s="17">
        <v>480</v>
      </c>
      <c r="G130" s="51">
        <v>165</v>
      </c>
      <c r="I130" s="128">
        <f t="shared" si="3"/>
        <v>72</v>
      </c>
      <c r="J130" s="129">
        <f t="shared" si="4"/>
        <v>315</v>
      </c>
      <c r="K130" s="129">
        <f t="shared" si="5"/>
        <v>165</v>
      </c>
    </row>
    <row r="131" spans="1:11" ht="60" x14ac:dyDescent="0.25">
      <c r="A131" s="47">
        <v>125</v>
      </c>
      <c r="B131" s="30" t="s">
        <v>357</v>
      </c>
      <c r="C131" s="58" t="s">
        <v>358</v>
      </c>
      <c r="D131" s="16" t="s">
        <v>19</v>
      </c>
      <c r="E131" s="16">
        <v>200</v>
      </c>
      <c r="F131" s="17">
        <v>1050</v>
      </c>
      <c r="G131" s="51">
        <v>330</v>
      </c>
      <c r="I131" s="128">
        <f t="shared" si="3"/>
        <v>157.5</v>
      </c>
      <c r="J131" s="129">
        <f t="shared" si="4"/>
        <v>720</v>
      </c>
      <c r="K131" s="129">
        <f t="shared" si="5"/>
        <v>330</v>
      </c>
    </row>
    <row r="132" spans="1:11" ht="75" x14ac:dyDescent="0.25">
      <c r="A132" s="47">
        <v>126</v>
      </c>
      <c r="B132" s="30" t="s">
        <v>359</v>
      </c>
      <c r="C132" s="58" t="s">
        <v>360</v>
      </c>
      <c r="D132" s="16" t="s">
        <v>25</v>
      </c>
      <c r="E132" s="16">
        <v>352</v>
      </c>
      <c r="F132" s="17">
        <v>330</v>
      </c>
      <c r="G132" s="51">
        <v>95</v>
      </c>
      <c r="I132" s="128">
        <f t="shared" si="3"/>
        <v>49.5</v>
      </c>
      <c r="J132" s="129">
        <f t="shared" si="4"/>
        <v>235</v>
      </c>
      <c r="K132" s="129">
        <f t="shared" si="5"/>
        <v>95</v>
      </c>
    </row>
    <row r="133" spans="1:11" ht="90" x14ac:dyDescent="0.25">
      <c r="A133" s="47">
        <v>127</v>
      </c>
      <c r="B133" s="30" t="s">
        <v>361</v>
      </c>
      <c r="C133" s="58" t="s">
        <v>362</v>
      </c>
      <c r="D133" s="16" t="s">
        <v>24</v>
      </c>
      <c r="E133" s="16">
        <v>100</v>
      </c>
      <c r="F133" s="17">
        <v>790</v>
      </c>
      <c r="G133" s="51">
        <v>240</v>
      </c>
      <c r="I133" s="128">
        <f t="shared" ref="I133:I196" si="6">+(F133*0.15)</f>
        <v>118.5</v>
      </c>
      <c r="J133" s="129">
        <f t="shared" ref="J133:J196" si="7">+F133-G133</f>
        <v>550</v>
      </c>
      <c r="K133" s="129">
        <f t="shared" ref="K133:K196" si="8">+F133-J133</f>
        <v>240</v>
      </c>
    </row>
    <row r="134" spans="1:11" ht="75" x14ac:dyDescent="0.25">
      <c r="A134" s="47">
        <v>128</v>
      </c>
      <c r="B134" s="30" t="s">
        <v>363</v>
      </c>
      <c r="C134" s="58" t="s">
        <v>364</v>
      </c>
      <c r="D134" s="16" t="s">
        <v>25</v>
      </c>
      <c r="E134" s="16">
        <v>232</v>
      </c>
      <c r="F134" s="17">
        <v>380</v>
      </c>
      <c r="G134" s="51">
        <v>130</v>
      </c>
      <c r="I134" s="128">
        <f t="shared" si="6"/>
        <v>57</v>
      </c>
      <c r="J134" s="129">
        <f t="shared" si="7"/>
        <v>250</v>
      </c>
      <c r="K134" s="129">
        <f t="shared" si="8"/>
        <v>130</v>
      </c>
    </row>
    <row r="135" spans="1:11" ht="162" x14ac:dyDescent="0.25">
      <c r="A135" s="47">
        <v>129</v>
      </c>
      <c r="B135" s="30" t="s">
        <v>365</v>
      </c>
      <c r="C135" s="58" t="s">
        <v>366</v>
      </c>
      <c r="D135" s="16" t="s">
        <v>19</v>
      </c>
      <c r="E135" s="16">
        <v>100</v>
      </c>
      <c r="F135" s="17">
        <v>650</v>
      </c>
      <c r="G135" s="51">
        <v>225</v>
      </c>
      <c r="I135" s="128">
        <f t="shared" si="6"/>
        <v>97.5</v>
      </c>
      <c r="J135" s="129">
        <f t="shared" si="7"/>
        <v>425</v>
      </c>
      <c r="K135" s="129">
        <f t="shared" si="8"/>
        <v>225</v>
      </c>
    </row>
    <row r="136" spans="1:11" ht="30" x14ac:dyDescent="0.25">
      <c r="A136" s="47">
        <v>130</v>
      </c>
      <c r="B136" s="30" t="s">
        <v>367</v>
      </c>
      <c r="C136" s="58" t="s">
        <v>368</v>
      </c>
      <c r="D136" s="16" t="s">
        <v>114</v>
      </c>
      <c r="E136" s="16">
        <v>100</v>
      </c>
      <c r="F136" s="17">
        <v>290</v>
      </c>
      <c r="G136" s="51">
        <v>120</v>
      </c>
      <c r="I136" s="128">
        <f t="shared" si="6"/>
        <v>43.5</v>
      </c>
      <c r="J136" s="129">
        <f t="shared" si="7"/>
        <v>170</v>
      </c>
      <c r="K136" s="129">
        <f t="shared" si="8"/>
        <v>120</v>
      </c>
    </row>
    <row r="137" spans="1:11" x14ac:dyDescent="0.25">
      <c r="A137" s="47">
        <v>131</v>
      </c>
      <c r="B137" s="30" t="s">
        <v>195</v>
      </c>
      <c r="C137" s="61" t="s">
        <v>196</v>
      </c>
      <c r="D137" s="16" t="s">
        <v>50</v>
      </c>
      <c r="E137" s="16">
        <v>152</v>
      </c>
      <c r="F137" s="17">
        <v>480</v>
      </c>
      <c r="G137" s="59">
        <v>150</v>
      </c>
      <c r="I137" s="128">
        <f t="shared" si="6"/>
        <v>72</v>
      </c>
      <c r="J137" s="129">
        <f t="shared" si="7"/>
        <v>330</v>
      </c>
      <c r="K137" s="129">
        <f t="shared" si="8"/>
        <v>150</v>
      </c>
    </row>
    <row r="138" spans="1:11" x14ac:dyDescent="0.25">
      <c r="A138" s="47">
        <v>132</v>
      </c>
      <c r="B138" s="30" t="s">
        <v>197</v>
      </c>
      <c r="C138" s="61" t="s">
        <v>185</v>
      </c>
      <c r="D138" s="16" t="s">
        <v>46</v>
      </c>
      <c r="E138" s="16">
        <v>141</v>
      </c>
      <c r="F138" s="17">
        <v>430</v>
      </c>
      <c r="G138" s="59">
        <v>150</v>
      </c>
      <c r="I138" s="128">
        <f t="shared" si="6"/>
        <v>64.5</v>
      </c>
      <c r="J138" s="129">
        <f t="shared" si="7"/>
        <v>280</v>
      </c>
      <c r="K138" s="129">
        <f t="shared" si="8"/>
        <v>150</v>
      </c>
    </row>
    <row r="139" spans="1:11" x14ac:dyDescent="0.25">
      <c r="A139" s="47">
        <v>133</v>
      </c>
      <c r="B139" s="30" t="s">
        <v>198</v>
      </c>
      <c r="C139" s="61" t="s">
        <v>199</v>
      </c>
      <c r="D139" s="16" t="s">
        <v>114</v>
      </c>
      <c r="E139" s="16">
        <v>100</v>
      </c>
      <c r="F139" s="17">
        <v>399</v>
      </c>
      <c r="G139" s="59">
        <v>130</v>
      </c>
      <c r="I139" s="128">
        <f t="shared" si="6"/>
        <v>59.849999999999994</v>
      </c>
      <c r="J139" s="129">
        <f t="shared" si="7"/>
        <v>269</v>
      </c>
      <c r="K139" s="129">
        <f t="shared" si="8"/>
        <v>130</v>
      </c>
    </row>
    <row r="140" spans="1:11" ht="30" x14ac:dyDescent="0.25">
      <c r="A140" s="47">
        <v>134</v>
      </c>
      <c r="B140" s="30" t="s">
        <v>200</v>
      </c>
      <c r="C140" s="61" t="s">
        <v>201</v>
      </c>
      <c r="D140" s="49" t="s">
        <v>114</v>
      </c>
      <c r="E140" s="49">
        <v>100</v>
      </c>
      <c r="F140" s="50">
        <v>190</v>
      </c>
      <c r="G140" s="51">
        <v>75</v>
      </c>
      <c r="I140" s="128">
        <f t="shared" si="6"/>
        <v>28.5</v>
      </c>
      <c r="J140" s="129">
        <f t="shared" si="7"/>
        <v>115</v>
      </c>
      <c r="K140" s="129">
        <f t="shared" si="8"/>
        <v>75</v>
      </c>
    </row>
    <row r="141" spans="1:11" x14ac:dyDescent="0.25">
      <c r="A141" s="47">
        <v>135</v>
      </c>
      <c r="B141" s="30" t="s">
        <v>202</v>
      </c>
      <c r="C141" s="61" t="s">
        <v>196</v>
      </c>
      <c r="D141" s="16" t="s">
        <v>50</v>
      </c>
      <c r="E141" s="16">
        <v>140</v>
      </c>
      <c r="F141" s="17">
        <v>580</v>
      </c>
      <c r="G141" s="59">
        <v>195</v>
      </c>
      <c r="I141" s="128">
        <f t="shared" si="6"/>
        <v>87</v>
      </c>
      <c r="J141" s="129">
        <f t="shared" si="7"/>
        <v>385</v>
      </c>
      <c r="K141" s="129">
        <f t="shared" si="8"/>
        <v>195</v>
      </c>
    </row>
    <row r="142" spans="1:11" x14ac:dyDescent="0.25">
      <c r="A142" s="47">
        <v>136</v>
      </c>
      <c r="B142" s="30" t="s">
        <v>203</v>
      </c>
      <c r="C142" s="30" t="s">
        <v>204</v>
      </c>
      <c r="D142" s="16" t="s">
        <v>205</v>
      </c>
      <c r="E142" s="16">
        <v>300</v>
      </c>
      <c r="F142" s="17">
        <v>350</v>
      </c>
      <c r="G142" s="59">
        <v>85</v>
      </c>
      <c r="I142" s="128">
        <f t="shared" si="6"/>
        <v>52.5</v>
      </c>
      <c r="J142" s="129">
        <f t="shared" si="7"/>
        <v>265</v>
      </c>
      <c r="K142" s="129">
        <f t="shared" si="8"/>
        <v>85</v>
      </c>
    </row>
    <row r="143" spans="1:11" x14ac:dyDescent="0.25">
      <c r="A143" s="47">
        <v>137</v>
      </c>
      <c r="B143" s="30" t="s">
        <v>206</v>
      </c>
      <c r="C143" s="61" t="s">
        <v>207</v>
      </c>
      <c r="D143" s="16" t="s">
        <v>46</v>
      </c>
      <c r="E143" s="16">
        <v>120</v>
      </c>
      <c r="F143" s="17">
        <v>770</v>
      </c>
      <c r="G143" s="59">
        <v>195</v>
      </c>
      <c r="I143" s="128">
        <f t="shared" si="6"/>
        <v>115.5</v>
      </c>
      <c r="J143" s="129">
        <f t="shared" si="7"/>
        <v>575</v>
      </c>
      <c r="K143" s="129">
        <f t="shared" si="8"/>
        <v>195</v>
      </c>
    </row>
    <row r="144" spans="1:11" x14ac:dyDescent="0.25">
      <c r="A144" s="47">
        <v>138</v>
      </c>
      <c r="B144" s="30" t="s">
        <v>208</v>
      </c>
      <c r="C144" s="61" t="s">
        <v>209</v>
      </c>
      <c r="D144" s="16" t="s">
        <v>114</v>
      </c>
      <c r="E144" s="16">
        <v>72</v>
      </c>
      <c r="F144" s="17">
        <v>650</v>
      </c>
      <c r="G144" s="59">
        <v>185</v>
      </c>
      <c r="I144" s="128">
        <f t="shared" si="6"/>
        <v>97.5</v>
      </c>
      <c r="J144" s="129">
        <f t="shared" si="7"/>
        <v>465</v>
      </c>
      <c r="K144" s="129">
        <f t="shared" si="8"/>
        <v>185</v>
      </c>
    </row>
    <row r="145" spans="1:11" x14ac:dyDescent="0.25">
      <c r="A145" s="47">
        <v>139</v>
      </c>
      <c r="B145" s="30" t="s">
        <v>210</v>
      </c>
      <c r="C145" s="61" t="s">
        <v>204</v>
      </c>
      <c r="D145" s="16" t="s">
        <v>12</v>
      </c>
      <c r="E145" s="16">
        <v>704</v>
      </c>
      <c r="F145" s="17">
        <v>370</v>
      </c>
      <c r="G145" s="59">
        <v>85</v>
      </c>
      <c r="I145" s="128">
        <f t="shared" si="6"/>
        <v>55.5</v>
      </c>
      <c r="J145" s="129">
        <f t="shared" si="7"/>
        <v>285</v>
      </c>
      <c r="K145" s="129">
        <f t="shared" si="8"/>
        <v>85</v>
      </c>
    </row>
    <row r="146" spans="1:11" ht="30" x14ac:dyDescent="0.25">
      <c r="A146" s="47">
        <v>140</v>
      </c>
      <c r="B146" s="30" t="s">
        <v>211</v>
      </c>
      <c r="C146" s="61" t="s">
        <v>212</v>
      </c>
      <c r="D146" s="16" t="s">
        <v>46</v>
      </c>
      <c r="E146" s="16">
        <v>100</v>
      </c>
      <c r="F146" s="17">
        <v>1150</v>
      </c>
      <c r="G146" s="59">
        <v>350</v>
      </c>
      <c r="I146" s="128">
        <f t="shared" si="6"/>
        <v>172.5</v>
      </c>
      <c r="J146" s="129">
        <f t="shared" si="7"/>
        <v>800</v>
      </c>
      <c r="K146" s="129">
        <f t="shared" si="8"/>
        <v>350</v>
      </c>
    </row>
    <row r="147" spans="1:11" x14ac:dyDescent="0.25">
      <c r="A147" s="101">
        <v>141</v>
      </c>
      <c r="B147" s="114" t="s">
        <v>213</v>
      </c>
      <c r="C147" s="62" t="s">
        <v>214</v>
      </c>
      <c r="D147" s="107" t="s">
        <v>46</v>
      </c>
      <c r="E147" s="109">
        <v>105</v>
      </c>
      <c r="F147" s="116">
        <v>510</v>
      </c>
      <c r="G147" s="100">
        <v>185</v>
      </c>
      <c r="I147" s="128">
        <f t="shared" si="6"/>
        <v>76.5</v>
      </c>
      <c r="J147" s="129">
        <f t="shared" si="7"/>
        <v>325</v>
      </c>
      <c r="K147" s="129">
        <f t="shared" si="8"/>
        <v>185</v>
      </c>
    </row>
    <row r="148" spans="1:11" x14ac:dyDescent="0.25">
      <c r="A148" s="101"/>
      <c r="B148" s="114"/>
      <c r="C148" s="62" t="s">
        <v>215</v>
      </c>
      <c r="D148" s="107"/>
      <c r="E148" s="110"/>
      <c r="F148" s="116"/>
      <c r="G148" s="100"/>
      <c r="I148" s="128">
        <f t="shared" si="6"/>
        <v>0</v>
      </c>
      <c r="J148" s="129">
        <f t="shared" si="7"/>
        <v>0</v>
      </c>
      <c r="K148" s="129">
        <f t="shared" si="8"/>
        <v>0</v>
      </c>
    </row>
    <row r="149" spans="1:11" x14ac:dyDescent="0.25">
      <c r="A149" s="101"/>
      <c r="B149" s="114"/>
      <c r="C149" s="62" t="s">
        <v>216</v>
      </c>
      <c r="D149" s="107"/>
      <c r="E149" s="115"/>
      <c r="F149" s="116"/>
      <c r="G149" s="100"/>
      <c r="I149" s="128">
        <f t="shared" si="6"/>
        <v>0</v>
      </c>
      <c r="J149" s="129">
        <f t="shared" si="7"/>
        <v>0</v>
      </c>
      <c r="K149" s="129">
        <f t="shared" si="8"/>
        <v>0</v>
      </c>
    </row>
    <row r="150" spans="1:11" x14ac:dyDescent="0.25">
      <c r="A150" s="47">
        <v>142</v>
      </c>
      <c r="B150" s="63" t="s">
        <v>217</v>
      </c>
      <c r="C150" s="64" t="s">
        <v>218</v>
      </c>
      <c r="D150" s="16" t="s">
        <v>114</v>
      </c>
      <c r="E150" s="16">
        <v>100</v>
      </c>
      <c r="F150" s="17">
        <v>270</v>
      </c>
      <c r="G150" s="59">
        <v>95</v>
      </c>
      <c r="I150" s="128">
        <f t="shared" si="6"/>
        <v>40.5</v>
      </c>
      <c r="J150" s="129">
        <f t="shared" si="7"/>
        <v>175</v>
      </c>
      <c r="K150" s="129">
        <f t="shared" si="8"/>
        <v>95</v>
      </c>
    </row>
    <row r="151" spans="1:11" x14ac:dyDescent="0.25">
      <c r="A151" s="101">
        <v>143</v>
      </c>
      <c r="B151" s="117" t="s">
        <v>219</v>
      </c>
      <c r="C151" s="118" t="s">
        <v>220</v>
      </c>
      <c r="D151" s="107" t="s">
        <v>114</v>
      </c>
      <c r="E151" s="109">
        <v>100</v>
      </c>
      <c r="F151" s="116">
        <v>280</v>
      </c>
      <c r="G151" s="100">
        <v>98</v>
      </c>
      <c r="I151" s="128">
        <f t="shared" si="6"/>
        <v>42</v>
      </c>
      <c r="J151" s="129">
        <f t="shared" si="7"/>
        <v>182</v>
      </c>
      <c r="K151" s="129">
        <f t="shared" si="8"/>
        <v>98</v>
      </c>
    </row>
    <row r="152" spans="1:11" x14ac:dyDescent="0.25">
      <c r="A152" s="101"/>
      <c r="B152" s="117"/>
      <c r="C152" s="118"/>
      <c r="D152" s="107"/>
      <c r="E152" s="110"/>
      <c r="F152" s="116"/>
      <c r="G152" s="100"/>
      <c r="I152" s="128">
        <f t="shared" si="6"/>
        <v>0</v>
      </c>
      <c r="J152" s="129">
        <f t="shared" si="7"/>
        <v>0</v>
      </c>
      <c r="K152" s="129">
        <f t="shared" si="8"/>
        <v>0</v>
      </c>
    </row>
    <row r="153" spans="1:11" x14ac:dyDescent="0.25">
      <c r="A153" s="101"/>
      <c r="B153" s="117"/>
      <c r="C153" s="118"/>
      <c r="D153" s="107"/>
      <c r="E153" s="115"/>
      <c r="F153" s="116"/>
      <c r="G153" s="100"/>
      <c r="I153" s="128">
        <f t="shared" si="6"/>
        <v>0</v>
      </c>
      <c r="J153" s="129">
        <f t="shared" si="7"/>
        <v>0</v>
      </c>
      <c r="K153" s="129">
        <f t="shared" si="8"/>
        <v>0</v>
      </c>
    </row>
    <row r="154" spans="1:11" x14ac:dyDescent="0.25">
      <c r="A154" s="101">
        <v>144</v>
      </c>
      <c r="B154" s="103" t="s">
        <v>221</v>
      </c>
      <c r="C154" s="105" t="s">
        <v>222</v>
      </c>
      <c r="D154" s="107" t="s">
        <v>11</v>
      </c>
      <c r="E154" s="109">
        <v>50</v>
      </c>
      <c r="F154" s="107">
        <v>875</v>
      </c>
      <c r="G154" s="112">
        <v>290</v>
      </c>
      <c r="I154" s="128">
        <f t="shared" si="6"/>
        <v>131.25</v>
      </c>
      <c r="J154" s="129">
        <f t="shared" si="7"/>
        <v>585</v>
      </c>
      <c r="K154" s="129">
        <f t="shared" si="8"/>
        <v>290</v>
      </c>
    </row>
    <row r="155" spans="1:11" x14ac:dyDescent="0.25">
      <c r="A155" s="101"/>
      <c r="B155" s="103"/>
      <c r="C155" s="105"/>
      <c r="D155" s="107"/>
      <c r="E155" s="110"/>
      <c r="F155" s="107"/>
      <c r="G155" s="112"/>
      <c r="I155" s="128">
        <f t="shared" si="6"/>
        <v>0</v>
      </c>
      <c r="J155" s="129">
        <f t="shared" si="7"/>
        <v>0</v>
      </c>
      <c r="K155" s="129">
        <f t="shared" si="8"/>
        <v>0</v>
      </c>
    </row>
    <row r="156" spans="1:11" x14ac:dyDescent="0.25">
      <c r="A156" s="101"/>
      <c r="B156" s="103"/>
      <c r="C156" s="105"/>
      <c r="D156" s="107"/>
      <c r="E156" s="110"/>
      <c r="F156" s="107"/>
      <c r="G156" s="112"/>
      <c r="I156" s="128">
        <f t="shared" si="6"/>
        <v>0</v>
      </c>
      <c r="J156" s="129">
        <f t="shared" si="7"/>
        <v>0</v>
      </c>
      <c r="K156" s="129">
        <f t="shared" si="8"/>
        <v>0</v>
      </c>
    </row>
    <row r="157" spans="1:11" x14ac:dyDescent="0.25">
      <c r="A157" s="101"/>
      <c r="B157" s="103"/>
      <c r="C157" s="105"/>
      <c r="D157" s="107"/>
      <c r="E157" s="110"/>
      <c r="F157" s="107"/>
      <c r="G157" s="112"/>
      <c r="I157" s="128">
        <f t="shared" si="6"/>
        <v>0</v>
      </c>
      <c r="J157" s="129">
        <f t="shared" si="7"/>
        <v>0</v>
      </c>
      <c r="K157" s="129">
        <f t="shared" si="8"/>
        <v>0</v>
      </c>
    </row>
    <row r="158" spans="1:11" x14ac:dyDescent="0.25">
      <c r="A158" s="101"/>
      <c r="B158" s="103"/>
      <c r="C158" s="105"/>
      <c r="D158" s="107"/>
      <c r="E158" s="110"/>
      <c r="F158" s="107"/>
      <c r="G158" s="112"/>
      <c r="I158" s="128">
        <f t="shared" si="6"/>
        <v>0</v>
      </c>
      <c r="J158" s="129">
        <f t="shared" si="7"/>
        <v>0</v>
      </c>
      <c r="K158" s="129">
        <f t="shared" si="8"/>
        <v>0</v>
      </c>
    </row>
    <row r="159" spans="1:11" x14ac:dyDescent="0.25">
      <c r="A159" s="101"/>
      <c r="B159" s="103"/>
      <c r="C159" s="105"/>
      <c r="D159" s="107"/>
      <c r="E159" s="110"/>
      <c r="F159" s="107"/>
      <c r="G159" s="112"/>
      <c r="I159" s="128">
        <f t="shared" si="6"/>
        <v>0</v>
      </c>
      <c r="J159" s="129">
        <f t="shared" si="7"/>
        <v>0</v>
      </c>
      <c r="K159" s="129">
        <f t="shared" si="8"/>
        <v>0</v>
      </c>
    </row>
    <row r="160" spans="1:11" x14ac:dyDescent="0.25">
      <c r="A160" s="101"/>
      <c r="B160" s="103"/>
      <c r="C160" s="105"/>
      <c r="D160" s="107"/>
      <c r="E160" s="110"/>
      <c r="F160" s="107"/>
      <c r="G160" s="112"/>
      <c r="I160" s="128">
        <f t="shared" si="6"/>
        <v>0</v>
      </c>
      <c r="J160" s="129">
        <f t="shared" si="7"/>
        <v>0</v>
      </c>
      <c r="K160" s="129">
        <f t="shared" si="8"/>
        <v>0</v>
      </c>
    </row>
    <row r="161" spans="1:11" x14ac:dyDescent="0.25">
      <c r="A161" s="101"/>
      <c r="B161" s="103"/>
      <c r="C161" s="105"/>
      <c r="D161" s="107"/>
      <c r="E161" s="110"/>
      <c r="F161" s="107"/>
      <c r="G161" s="112"/>
      <c r="I161" s="128">
        <f t="shared" si="6"/>
        <v>0</v>
      </c>
      <c r="J161" s="129">
        <f t="shared" si="7"/>
        <v>0</v>
      </c>
      <c r="K161" s="129">
        <f t="shared" si="8"/>
        <v>0</v>
      </c>
    </row>
    <row r="162" spans="1:11" x14ac:dyDescent="0.25">
      <c r="A162" s="101"/>
      <c r="B162" s="103"/>
      <c r="C162" s="105"/>
      <c r="D162" s="107"/>
      <c r="E162" s="110"/>
      <c r="F162" s="107"/>
      <c r="G162" s="112"/>
      <c r="I162" s="128">
        <f t="shared" si="6"/>
        <v>0</v>
      </c>
      <c r="J162" s="129">
        <f t="shared" si="7"/>
        <v>0</v>
      </c>
      <c r="K162" s="129">
        <f t="shared" si="8"/>
        <v>0</v>
      </c>
    </row>
    <row r="163" spans="1:11" x14ac:dyDescent="0.25">
      <c r="A163" s="101"/>
      <c r="B163" s="103"/>
      <c r="C163" s="105"/>
      <c r="D163" s="107"/>
      <c r="E163" s="110"/>
      <c r="F163" s="107"/>
      <c r="G163" s="112"/>
      <c r="I163" s="128">
        <f t="shared" si="6"/>
        <v>0</v>
      </c>
      <c r="J163" s="129">
        <f t="shared" si="7"/>
        <v>0</v>
      </c>
      <c r="K163" s="129">
        <f t="shared" si="8"/>
        <v>0</v>
      </c>
    </row>
    <row r="164" spans="1:11" x14ac:dyDescent="0.25">
      <c r="A164" s="101"/>
      <c r="B164" s="103"/>
      <c r="C164" s="105"/>
      <c r="D164" s="107"/>
      <c r="E164" s="115"/>
      <c r="F164" s="107"/>
      <c r="G164" s="112"/>
      <c r="I164" s="128">
        <f t="shared" si="6"/>
        <v>0</v>
      </c>
      <c r="J164" s="129">
        <f t="shared" si="7"/>
        <v>0</v>
      </c>
      <c r="K164" s="129">
        <f t="shared" si="8"/>
        <v>0</v>
      </c>
    </row>
    <row r="165" spans="1:11" x14ac:dyDescent="0.25">
      <c r="A165" s="101">
        <v>145</v>
      </c>
      <c r="B165" s="103" t="s">
        <v>223</v>
      </c>
      <c r="C165" s="105" t="s">
        <v>224</v>
      </c>
      <c r="D165" s="107" t="s">
        <v>12</v>
      </c>
      <c r="E165" s="109"/>
      <c r="F165" s="116"/>
      <c r="G165" s="100"/>
      <c r="I165" s="128">
        <f t="shared" si="6"/>
        <v>0</v>
      </c>
      <c r="J165" s="129">
        <f t="shared" si="7"/>
        <v>0</v>
      </c>
      <c r="K165" s="129">
        <f t="shared" si="8"/>
        <v>0</v>
      </c>
    </row>
    <row r="166" spans="1:11" x14ac:dyDescent="0.25">
      <c r="A166" s="101"/>
      <c r="B166" s="103"/>
      <c r="C166" s="105"/>
      <c r="D166" s="107"/>
      <c r="E166" s="110"/>
      <c r="F166" s="116"/>
      <c r="G166" s="100"/>
      <c r="I166" s="128">
        <f t="shared" si="6"/>
        <v>0</v>
      </c>
      <c r="J166" s="129">
        <f t="shared" si="7"/>
        <v>0</v>
      </c>
      <c r="K166" s="129">
        <f t="shared" si="8"/>
        <v>0</v>
      </c>
    </row>
    <row r="167" spans="1:11" x14ac:dyDescent="0.25">
      <c r="A167" s="101"/>
      <c r="B167" s="103"/>
      <c r="C167" s="105"/>
      <c r="D167" s="107"/>
      <c r="E167" s="115"/>
      <c r="F167" s="116"/>
      <c r="G167" s="100"/>
      <c r="I167" s="128">
        <f t="shared" si="6"/>
        <v>0</v>
      </c>
      <c r="J167" s="129">
        <f t="shared" si="7"/>
        <v>0</v>
      </c>
      <c r="K167" s="129">
        <f t="shared" si="8"/>
        <v>0</v>
      </c>
    </row>
    <row r="168" spans="1:11" x14ac:dyDescent="0.25">
      <c r="A168" s="47">
        <v>146</v>
      </c>
      <c r="B168" s="65" t="s">
        <v>225</v>
      </c>
      <c r="C168" s="66" t="s">
        <v>226</v>
      </c>
      <c r="D168" s="16" t="s">
        <v>46</v>
      </c>
      <c r="E168" s="16">
        <v>141</v>
      </c>
      <c r="F168" s="17">
        <v>470</v>
      </c>
      <c r="G168" s="59">
        <v>145</v>
      </c>
      <c r="I168" s="128">
        <f t="shared" si="6"/>
        <v>70.5</v>
      </c>
      <c r="J168" s="129">
        <f t="shared" si="7"/>
        <v>325</v>
      </c>
      <c r="K168" s="129">
        <f t="shared" si="8"/>
        <v>145</v>
      </c>
    </row>
    <row r="169" spans="1:11" x14ac:dyDescent="0.25">
      <c r="A169" s="101">
        <v>147</v>
      </c>
      <c r="B169" s="103" t="s">
        <v>227</v>
      </c>
      <c r="C169" s="105" t="s">
        <v>228</v>
      </c>
      <c r="D169" s="107" t="s">
        <v>46</v>
      </c>
      <c r="E169" s="109">
        <v>141</v>
      </c>
      <c r="F169" s="107">
        <v>415</v>
      </c>
      <c r="G169" s="112">
        <v>110</v>
      </c>
      <c r="I169" s="128">
        <f t="shared" si="6"/>
        <v>62.25</v>
      </c>
      <c r="J169" s="129">
        <f t="shared" si="7"/>
        <v>305</v>
      </c>
      <c r="K169" s="129">
        <f t="shared" si="8"/>
        <v>110</v>
      </c>
    </row>
    <row r="170" spans="1:11" x14ac:dyDescent="0.25">
      <c r="A170" s="101"/>
      <c r="B170" s="103"/>
      <c r="C170" s="105"/>
      <c r="D170" s="107"/>
      <c r="E170" s="115"/>
      <c r="F170" s="107"/>
      <c r="G170" s="112"/>
      <c r="I170" s="128">
        <f t="shared" si="6"/>
        <v>0</v>
      </c>
      <c r="J170" s="129">
        <f t="shared" si="7"/>
        <v>0</v>
      </c>
      <c r="K170" s="129">
        <f t="shared" si="8"/>
        <v>0</v>
      </c>
    </row>
    <row r="171" spans="1:11" x14ac:dyDescent="0.25">
      <c r="A171" s="101">
        <v>148</v>
      </c>
      <c r="B171" s="114" t="s">
        <v>229</v>
      </c>
      <c r="C171" s="105" t="s">
        <v>230</v>
      </c>
      <c r="D171" s="107" t="s">
        <v>114</v>
      </c>
      <c r="E171" s="109">
        <v>100</v>
      </c>
      <c r="F171" s="116">
        <v>340</v>
      </c>
      <c r="G171" s="100">
        <v>95</v>
      </c>
      <c r="I171" s="128">
        <f t="shared" si="6"/>
        <v>51</v>
      </c>
      <c r="J171" s="129">
        <f t="shared" si="7"/>
        <v>245</v>
      </c>
      <c r="K171" s="129">
        <f t="shared" si="8"/>
        <v>95</v>
      </c>
    </row>
    <row r="172" spans="1:11" x14ac:dyDescent="0.25">
      <c r="A172" s="101"/>
      <c r="B172" s="114"/>
      <c r="C172" s="105"/>
      <c r="D172" s="107"/>
      <c r="E172" s="110"/>
      <c r="F172" s="116"/>
      <c r="G172" s="100"/>
      <c r="I172" s="128">
        <f t="shared" si="6"/>
        <v>0</v>
      </c>
      <c r="J172" s="129">
        <f t="shared" si="7"/>
        <v>0</v>
      </c>
      <c r="K172" s="129">
        <f t="shared" si="8"/>
        <v>0</v>
      </c>
    </row>
    <row r="173" spans="1:11" x14ac:dyDescent="0.25">
      <c r="A173" s="101"/>
      <c r="B173" s="114"/>
      <c r="C173" s="105"/>
      <c r="D173" s="107"/>
      <c r="E173" s="110"/>
      <c r="F173" s="116"/>
      <c r="G173" s="100"/>
      <c r="I173" s="128">
        <f t="shared" si="6"/>
        <v>0</v>
      </c>
      <c r="J173" s="129">
        <f t="shared" si="7"/>
        <v>0</v>
      </c>
      <c r="K173" s="129">
        <f t="shared" si="8"/>
        <v>0</v>
      </c>
    </row>
    <row r="174" spans="1:11" x14ac:dyDescent="0.25">
      <c r="A174" s="101"/>
      <c r="B174" s="114"/>
      <c r="C174" s="105"/>
      <c r="D174" s="107"/>
      <c r="E174" s="115"/>
      <c r="F174" s="116"/>
      <c r="G174" s="100"/>
      <c r="I174" s="128">
        <f t="shared" si="6"/>
        <v>0</v>
      </c>
      <c r="J174" s="129">
        <f t="shared" si="7"/>
        <v>0</v>
      </c>
      <c r="K174" s="129">
        <f t="shared" si="8"/>
        <v>0</v>
      </c>
    </row>
    <row r="175" spans="1:11" x14ac:dyDescent="0.25">
      <c r="A175" s="13">
        <v>149</v>
      </c>
      <c r="B175" s="67" t="s">
        <v>231</v>
      </c>
      <c r="C175" s="15" t="s">
        <v>232</v>
      </c>
      <c r="D175" s="23" t="s">
        <v>11</v>
      </c>
      <c r="E175" s="23">
        <v>140</v>
      </c>
      <c r="F175" s="24">
        <v>750</v>
      </c>
      <c r="G175" s="59">
        <v>235</v>
      </c>
      <c r="I175" s="128">
        <f t="shared" si="6"/>
        <v>112.5</v>
      </c>
      <c r="J175" s="129">
        <f t="shared" si="7"/>
        <v>515</v>
      </c>
      <c r="K175" s="129">
        <f t="shared" si="8"/>
        <v>235</v>
      </c>
    </row>
    <row r="176" spans="1:11" x14ac:dyDescent="0.25">
      <c r="A176" s="13">
        <v>150</v>
      </c>
      <c r="B176" s="67" t="s">
        <v>233</v>
      </c>
      <c r="C176" s="15" t="s">
        <v>232</v>
      </c>
      <c r="D176" s="23" t="s">
        <v>11</v>
      </c>
      <c r="E176" s="23">
        <v>140</v>
      </c>
      <c r="F176" s="24">
        <v>1050</v>
      </c>
      <c r="G176" s="59">
        <v>320</v>
      </c>
      <c r="I176" s="128">
        <f t="shared" si="6"/>
        <v>157.5</v>
      </c>
      <c r="J176" s="129">
        <f t="shared" si="7"/>
        <v>730</v>
      </c>
      <c r="K176" s="129">
        <f t="shared" si="8"/>
        <v>320</v>
      </c>
    </row>
    <row r="177" spans="1:11" x14ac:dyDescent="0.25">
      <c r="A177" s="101">
        <v>151</v>
      </c>
      <c r="B177" s="103" t="s">
        <v>234</v>
      </c>
      <c r="C177" s="105" t="s">
        <v>235</v>
      </c>
      <c r="D177" s="107" t="s">
        <v>114</v>
      </c>
      <c r="E177" s="109">
        <v>140</v>
      </c>
      <c r="F177" s="107"/>
      <c r="G177" s="112"/>
      <c r="I177" s="128">
        <f t="shared" si="6"/>
        <v>0</v>
      </c>
      <c r="J177" s="129">
        <f t="shared" si="7"/>
        <v>0</v>
      </c>
      <c r="K177" s="129">
        <f t="shared" si="8"/>
        <v>0</v>
      </c>
    </row>
    <row r="178" spans="1:11" x14ac:dyDescent="0.25">
      <c r="A178" s="101"/>
      <c r="B178" s="103"/>
      <c r="C178" s="105"/>
      <c r="D178" s="107"/>
      <c r="E178" s="110"/>
      <c r="F178" s="107"/>
      <c r="G178" s="112"/>
      <c r="I178" s="128">
        <f t="shared" si="6"/>
        <v>0</v>
      </c>
      <c r="J178" s="129">
        <f t="shared" si="7"/>
        <v>0</v>
      </c>
      <c r="K178" s="129">
        <f t="shared" si="8"/>
        <v>0</v>
      </c>
    </row>
    <row r="179" spans="1:11" x14ac:dyDescent="0.25">
      <c r="A179" s="101"/>
      <c r="B179" s="103"/>
      <c r="C179" s="105"/>
      <c r="D179" s="107"/>
      <c r="E179" s="110"/>
      <c r="F179" s="107"/>
      <c r="G179" s="112"/>
      <c r="I179" s="128">
        <f t="shared" si="6"/>
        <v>0</v>
      </c>
      <c r="J179" s="129">
        <f t="shared" si="7"/>
        <v>0</v>
      </c>
      <c r="K179" s="129">
        <f t="shared" si="8"/>
        <v>0</v>
      </c>
    </row>
    <row r="180" spans="1:11" x14ac:dyDescent="0.25">
      <c r="A180" s="101"/>
      <c r="B180" s="103"/>
      <c r="C180" s="105"/>
      <c r="D180" s="107"/>
      <c r="E180" s="110"/>
      <c r="F180" s="107"/>
      <c r="G180" s="112"/>
      <c r="I180" s="128">
        <f t="shared" si="6"/>
        <v>0</v>
      </c>
      <c r="J180" s="129">
        <f t="shared" si="7"/>
        <v>0</v>
      </c>
      <c r="K180" s="129">
        <f t="shared" si="8"/>
        <v>0</v>
      </c>
    </row>
    <row r="181" spans="1:11" ht="15.75" thickBot="1" x14ac:dyDescent="0.3">
      <c r="A181" s="102"/>
      <c r="B181" s="104"/>
      <c r="C181" s="106"/>
      <c r="D181" s="108"/>
      <c r="E181" s="111"/>
      <c r="F181" s="108"/>
      <c r="G181" s="113"/>
      <c r="I181" s="128">
        <f t="shared" si="6"/>
        <v>0</v>
      </c>
      <c r="J181" s="129">
        <f t="shared" si="7"/>
        <v>0</v>
      </c>
      <c r="K181" s="129">
        <f t="shared" si="8"/>
        <v>0</v>
      </c>
    </row>
    <row r="182" spans="1:11" ht="28.5" thickBot="1" x14ac:dyDescent="0.3">
      <c r="A182" s="97" t="s">
        <v>236</v>
      </c>
      <c r="B182" s="98"/>
      <c r="C182" s="98"/>
      <c r="D182" s="98"/>
      <c r="E182" s="98"/>
      <c r="F182" s="98"/>
      <c r="G182" s="99"/>
      <c r="I182" s="128">
        <f t="shared" si="6"/>
        <v>0</v>
      </c>
      <c r="J182" s="129">
        <f t="shared" si="7"/>
        <v>0</v>
      </c>
      <c r="K182" s="129">
        <f t="shared" si="8"/>
        <v>0</v>
      </c>
    </row>
    <row r="183" spans="1:11" ht="33.75" thickBot="1" x14ac:dyDescent="0.3">
      <c r="A183" s="68" t="s">
        <v>2</v>
      </c>
      <c r="B183" s="69" t="s">
        <v>3</v>
      </c>
      <c r="C183" s="69" t="s">
        <v>4</v>
      </c>
      <c r="D183" s="69" t="s">
        <v>5</v>
      </c>
      <c r="E183" s="3" t="s">
        <v>6</v>
      </c>
      <c r="F183" s="69" t="s">
        <v>7</v>
      </c>
      <c r="G183" s="70" t="s">
        <v>8</v>
      </c>
      <c r="I183" s="128" t="e">
        <f t="shared" si="6"/>
        <v>#VALUE!</v>
      </c>
      <c r="J183" s="129" t="e">
        <f t="shared" si="7"/>
        <v>#VALUE!</v>
      </c>
      <c r="K183" s="129" t="e">
        <f t="shared" si="8"/>
        <v>#VALUE!</v>
      </c>
    </row>
    <row r="184" spans="1:11" ht="135" x14ac:dyDescent="0.25">
      <c r="A184" s="71">
        <v>152</v>
      </c>
      <c r="B184" s="72" t="s">
        <v>237</v>
      </c>
      <c r="C184" s="73" t="s">
        <v>238</v>
      </c>
      <c r="D184" s="74" t="s">
        <v>239</v>
      </c>
      <c r="E184" s="74">
        <v>48</v>
      </c>
      <c r="F184" s="74">
        <v>800</v>
      </c>
      <c r="G184" s="75">
        <v>440</v>
      </c>
      <c r="I184" s="128">
        <f t="shared" si="6"/>
        <v>120</v>
      </c>
      <c r="J184" s="129">
        <f t="shared" si="7"/>
        <v>360</v>
      </c>
      <c r="K184" s="129">
        <f t="shared" si="8"/>
        <v>440</v>
      </c>
    </row>
    <row r="185" spans="1:11" ht="90" x14ac:dyDescent="0.25">
      <c r="A185" s="76">
        <v>153</v>
      </c>
      <c r="B185" s="77" t="s">
        <v>240</v>
      </c>
      <c r="C185" s="58" t="s">
        <v>241</v>
      </c>
      <c r="D185" s="78" t="s">
        <v>239</v>
      </c>
      <c r="E185" s="78">
        <v>48</v>
      </c>
      <c r="F185" s="78">
        <v>800</v>
      </c>
      <c r="G185" s="29">
        <v>450</v>
      </c>
      <c r="I185" s="128">
        <f t="shared" si="6"/>
        <v>120</v>
      </c>
      <c r="J185" s="129">
        <f t="shared" si="7"/>
        <v>350</v>
      </c>
      <c r="K185" s="129">
        <f t="shared" si="8"/>
        <v>450</v>
      </c>
    </row>
    <row r="186" spans="1:11" ht="150" x14ac:dyDescent="0.25">
      <c r="A186" s="79">
        <v>154</v>
      </c>
      <c r="B186" s="77" t="s">
        <v>242</v>
      </c>
      <c r="C186" s="58" t="s">
        <v>243</v>
      </c>
      <c r="D186" s="78" t="s">
        <v>239</v>
      </c>
      <c r="E186" s="78">
        <v>48</v>
      </c>
      <c r="F186" s="78">
        <v>900</v>
      </c>
      <c r="G186" s="29">
        <v>460</v>
      </c>
      <c r="I186" s="128">
        <f t="shared" si="6"/>
        <v>135</v>
      </c>
      <c r="J186" s="129">
        <f t="shared" si="7"/>
        <v>440</v>
      </c>
      <c r="K186" s="129">
        <f t="shared" si="8"/>
        <v>460</v>
      </c>
    </row>
    <row r="187" spans="1:11" ht="105.75" thickBot="1" x14ac:dyDescent="0.3">
      <c r="A187" s="80">
        <v>155</v>
      </c>
      <c r="B187" s="81" t="s">
        <v>244</v>
      </c>
      <c r="C187" s="82" t="s">
        <v>245</v>
      </c>
      <c r="D187" s="83" t="s">
        <v>239</v>
      </c>
      <c r="E187" s="83">
        <v>48</v>
      </c>
      <c r="F187" s="83">
        <v>850</v>
      </c>
      <c r="G187" s="84">
        <v>435</v>
      </c>
      <c r="I187" s="128">
        <f t="shared" si="6"/>
        <v>127.5</v>
      </c>
      <c r="J187" s="129">
        <f t="shared" si="7"/>
        <v>415</v>
      </c>
      <c r="K187" s="129">
        <f t="shared" si="8"/>
        <v>435</v>
      </c>
    </row>
    <row r="188" spans="1:11" ht="28.5" thickBot="1" x14ac:dyDescent="0.3">
      <c r="A188" s="97" t="s">
        <v>246</v>
      </c>
      <c r="B188" s="98"/>
      <c r="C188" s="98"/>
      <c r="D188" s="98"/>
      <c r="E188" s="98"/>
      <c r="F188" s="98"/>
      <c r="G188" s="99"/>
      <c r="I188" s="128">
        <f t="shared" si="6"/>
        <v>0</v>
      </c>
      <c r="J188" s="129">
        <f t="shared" si="7"/>
        <v>0</v>
      </c>
      <c r="K188" s="129">
        <f t="shared" si="8"/>
        <v>0</v>
      </c>
    </row>
    <row r="189" spans="1:11" ht="33.75" thickBot="1" x14ac:dyDescent="0.3">
      <c r="A189" s="68" t="s">
        <v>2</v>
      </c>
      <c r="B189" s="69" t="s">
        <v>3</v>
      </c>
      <c r="C189" s="69" t="s">
        <v>4</v>
      </c>
      <c r="D189" s="69" t="s">
        <v>5</v>
      </c>
      <c r="E189" s="3" t="s">
        <v>6</v>
      </c>
      <c r="F189" s="69" t="s">
        <v>7</v>
      </c>
      <c r="G189" s="70" t="s">
        <v>8</v>
      </c>
      <c r="I189" s="128" t="e">
        <f t="shared" si="6"/>
        <v>#VALUE!</v>
      </c>
      <c r="J189" s="129" t="e">
        <f t="shared" si="7"/>
        <v>#VALUE!</v>
      </c>
      <c r="K189" s="129" t="e">
        <f t="shared" si="8"/>
        <v>#VALUE!</v>
      </c>
    </row>
    <row r="190" spans="1:11" x14ac:dyDescent="0.25">
      <c r="A190" s="71">
        <v>156</v>
      </c>
      <c r="B190" s="72" t="s">
        <v>247</v>
      </c>
      <c r="C190" s="85" t="s">
        <v>248</v>
      </c>
      <c r="D190" s="74" t="s">
        <v>56</v>
      </c>
      <c r="E190" s="74">
        <v>210</v>
      </c>
      <c r="F190" s="74">
        <v>190</v>
      </c>
      <c r="G190" s="75">
        <v>85</v>
      </c>
      <c r="I190" s="128">
        <f t="shared" si="6"/>
        <v>28.5</v>
      </c>
      <c r="J190" s="129">
        <f t="shared" si="7"/>
        <v>105</v>
      </c>
      <c r="K190" s="129">
        <f t="shared" si="8"/>
        <v>85</v>
      </c>
    </row>
    <row r="191" spans="1:11" ht="75" x14ac:dyDescent="0.25">
      <c r="A191" s="76">
        <v>157</v>
      </c>
      <c r="B191" s="77" t="s">
        <v>249</v>
      </c>
      <c r="C191" s="58" t="s">
        <v>250</v>
      </c>
      <c r="D191" s="78"/>
      <c r="E191" s="78"/>
      <c r="F191" s="78">
        <v>190</v>
      </c>
      <c r="G191" s="29"/>
      <c r="I191" s="128">
        <f t="shared" si="6"/>
        <v>28.5</v>
      </c>
      <c r="J191" s="129">
        <f t="shared" si="7"/>
        <v>190</v>
      </c>
      <c r="K191" s="129">
        <f t="shared" si="8"/>
        <v>0</v>
      </c>
    </row>
    <row r="192" spans="1:11" ht="60" x14ac:dyDescent="0.25">
      <c r="A192" s="79">
        <v>158</v>
      </c>
      <c r="B192" s="77" t="s">
        <v>251</v>
      </c>
      <c r="C192" s="58" t="s">
        <v>252</v>
      </c>
      <c r="D192" s="78" t="s">
        <v>253</v>
      </c>
      <c r="E192" s="78">
        <v>78</v>
      </c>
      <c r="F192" s="78">
        <v>900</v>
      </c>
      <c r="G192" s="29">
        <v>295</v>
      </c>
      <c r="I192" s="128">
        <f t="shared" si="6"/>
        <v>135</v>
      </c>
      <c r="J192" s="129">
        <f t="shared" si="7"/>
        <v>605</v>
      </c>
      <c r="K192" s="129">
        <f t="shared" si="8"/>
        <v>295</v>
      </c>
    </row>
    <row r="193" spans="1:11" ht="45" x14ac:dyDescent="0.25">
      <c r="A193" s="76">
        <v>159</v>
      </c>
      <c r="B193" s="77" t="s">
        <v>254</v>
      </c>
      <c r="C193" s="58" t="s">
        <v>255</v>
      </c>
      <c r="D193" s="78" t="s">
        <v>256</v>
      </c>
      <c r="E193" s="78">
        <v>120</v>
      </c>
      <c r="F193" s="78">
        <v>1200</v>
      </c>
      <c r="G193" s="29">
        <v>480</v>
      </c>
      <c r="I193" s="128">
        <f t="shared" si="6"/>
        <v>180</v>
      </c>
      <c r="J193" s="129">
        <f t="shared" si="7"/>
        <v>720</v>
      </c>
      <c r="K193" s="129">
        <f t="shared" si="8"/>
        <v>480</v>
      </c>
    </row>
    <row r="194" spans="1:11" ht="45" x14ac:dyDescent="0.25">
      <c r="A194" s="79">
        <v>160</v>
      </c>
      <c r="B194" s="77" t="s">
        <v>257</v>
      </c>
      <c r="C194" s="86" t="s">
        <v>258</v>
      </c>
      <c r="D194" s="78" t="s">
        <v>259</v>
      </c>
      <c r="E194" s="78">
        <v>78</v>
      </c>
      <c r="F194" s="78">
        <v>800</v>
      </c>
      <c r="G194" s="29">
        <v>305</v>
      </c>
      <c r="I194" s="128">
        <f t="shared" si="6"/>
        <v>120</v>
      </c>
      <c r="J194" s="129">
        <f t="shared" si="7"/>
        <v>495</v>
      </c>
      <c r="K194" s="129">
        <f t="shared" si="8"/>
        <v>305</v>
      </c>
    </row>
    <row r="195" spans="1:11" ht="60" x14ac:dyDescent="0.25">
      <c r="A195" s="76">
        <v>161</v>
      </c>
      <c r="B195" s="77" t="s">
        <v>260</v>
      </c>
      <c r="C195" s="86" t="s">
        <v>261</v>
      </c>
      <c r="D195" s="78" t="s">
        <v>262</v>
      </c>
      <c r="E195" s="78">
        <v>108</v>
      </c>
      <c r="F195" s="78">
        <v>900</v>
      </c>
      <c r="G195" s="29">
        <v>290</v>
      </c>
      <c r="I195" s="128">
        <f t="shared" si="6"/>
        <v>135</v>
      </c>
      <c r="J195" s="129">
        <f t="shared" si="7"/>
        <v>610</v>
      </c>
      <c r="K195" s="129">
        <f t="shared" si="8"/>
        <v>290</v>
      </c>
    </row>
    <row r="196" spans="1:11" ht="60" x14ac:dyDescent="0.25">
      <c r="A196" s="79">
        <v>162</v>
      </c>
      <c r="B196" s="77" t="s">
        <v>263</v>
      </c>
      <c r="C196" s="58" t="s">
        <v>264</v>
      </c>
      <c r="D196" s="78" t="s">
        <v>265</v>
      </c>
      <c r="E196" s="78">
        <v>165</v>
      </c>
      <c r="F196" s="78">
        <v>270</v>
      </c>
      <c r="G196" s="29">
        <v>90</v>
      </c>
      <c r="I196" s="128">
        <f t="shared" si="6"/>
        <v>40.5</v>
      </c>
      <c r="J196" s="129">
        <f t="shared" si="7"/>
        <v>180</v>
      </c>
      <c r="K196" s="129">
        <f t="shared" si="8"/>
        <v>90</v>
      </c>
    </row>
    <row r="197" spans="1:11" ht="30" x14ac:dyDescent="0.25">
      <c r="A197" s="76">
        <v>163</v>
      </c>
      <c r="B197" s="77" t="s">
        <v>266</v>
      </c>
      <c r="C197" s="58" t="s">
        <v>267</v>
      </c>
      <c r="D197" s="78" t="s">
        <v>265</v>
      </c>
      <c r="E197" s="78">
        <v>165</v>
      </c>
      <c r="F197" s="78">
        <v>240</v>
      </c>
      <c r="G197" s="29">
        <v>90</v>
      </c>
      <c r="I197" s="128">
        <f t="shared" ref="I197:I212" si="9">+(F197*0.15)</f>
        <v>36</v>
      </c>
      <c r="J197" s="129">
        <f t="shared" ref="J197:J212" si="10">+F197-G197</f>
        <v>150</v>
      </c>
      <c r="K197" s="129">
        <f t="shared" ref="K197:K212" si="11">+F197-J197</f>
        <v>90</v>
      </c>
    </row>
    <row r="198" spans="1:11" ht="30" x14ac:dyDescent="0.25">
      <c r="A198" s="79">
        <v>164</v>
      </c>
      <c r="B198" s="77" t="s">
        <v>268</v>
      </c>
      <c r="C198" s="58" t="s">
        <v>269</v>
      </c>
      <c r="D198" s="78" t="s">
        <v>265</v>
      </c>
      <c r="E198" s="78">
        <v>165</v>
      </c>
      <c r="F198" s="78">
        <v>310</v>
      </c>
      <c r="G198" s="29">
        <v>97</v>
      </c>
      <c r="I198" s="128">
        <f t="shared" si="9"/>
        <v>46.5</v>
      </c>
      <c r="J198" s="129">
        <f t="shared" si="10"/>
        <v>213</v>
      </c>
      <c r="K198" s="129">
        <f t="shared" si="11"/>
        <v>97</v>
      </c>
    </row>
    <row r="199" spans="1:11" ht="30" x14ac:dyDescent="0.25">
      <c r="A199" s="76">
        <v>165</v>
      </c>
      <c r="B199" s="77" t="s">
        <v>270</v>
      </c>
      <c r="C199" s="58" t="s">
        <v>271</v>
      </c>
      <c r="D199" s="78" t="s">
        <v>265</v>
      </c>
      <c r="E199" s="78">
        <v>165</v>
      </c>
      <c r="F199" s="78">
        <v>270</v>
      </c>
      <c r="G199" s="29">
        <v>90</v>
      </c>
      <c r="I199" s="128">
        <f t="shared" si="9"/>
        <v>40.5</v>
      </c>
      <c r="J199" s="129">
        <f t="shared" si="10"/>
        <v>180</v>
      </c>
      <c r="K199" s="129">
        <f t="shared" si="11"/>
        <v>90</v>
      </c>
    </row>
    <row r="200" spans="1:11" x14ac:dyDescent="0.25">
      <c r="A200" s="79">
        <v>166</v>
      </c>
      <c r="B200" s="87" t="s">
        <v>272</v>
      </c>
      <c r="C200" s="88" t="s">
        <v>273</v>
      </c>
      <c r="D200" s="78" t="s">
        <v>265</v>
      </c>
      <c r="E200" s="78">
        <v>150</v>
      </c>
      <c r="F200" s="78">
        <v>250</v>
      </c>
      <c r="G200" s="29">
        <v>92</v>
      </c>
      <c r="I200" s="128">
        <f t="shared" si="9"/>
        <v>37.5</v>
      </c>
      <c r="J200" s="129">
        <f t="shared" si="10"/>
        <v>158</v>
      </c>
      <c r="K200" s="129">
        <f t="shared" si="11"/>
        <v>92</v>
      </c>
    </row>
    <row r="201" spans="1:11" ht="45" x14ac:dyDescent="0.25">
      <c r="A201" s="76">
        <v>167</v>
      </c>
      <c r="B201" s="77" t="s">
        <v>274</v>
      </c>
      <c r="C201" s="58" t="s">
        <v>275</v>
      </c>
      <c r="D201" s="78" t="s">
        <v>276</v>
      </c>
      <c r="E201" s="78">
        <v>112</v>
      </c>
      <c r="F201" s="78">
        <v>280</v>
      </c>
      <c r="G201" s="29">
        <v>135</v>
      </c>
      <c r="I201" s="128">
        <f t="shared" si="9"/>
        <v>42</v>
      </c>
      <c r="J201" s="129">
        <f t="shared" si="10"/>
        <v>145</v>
      </c>
      <c r="K201" s="129">
        <f t="shared" si="11"/>
        <v>135</v>
      </c>
    </row>
    <row r="202" spans="1:11" ht="30" x14ac:dyDescent="0.25">
      <c r="A202" s="79">
        <v>168</v>
      </c>
      <c r="B202" s="77" t="s">
        <v>277</v>
      </c>
      <c r="C202" s="58" t="s">
        <v>278</v>
      </c>
      <c r="D202" s="78" t="s">
        <v>265</v>
      </c>
      <c r="E202" s="78">
        <v>165</v>
      </c>
      <c r="F202" s="78">
        <v>270</v>
      </c>
      <c r="G202" s="29">
        <v>90</v>
      </c>
      <c r="I202" s="128">
        <f t="shared" si="9"/>
        <v>40.5</v>
      </c>
      <c r="J202" s="129">
        <f t="shared" si="10"/>
        <v>180</v>
      </c>
      <c r="K202" s="129">
        <f t="shared" si="11"/>
        <v>90</v>
      </c>
    </row>
    <row r="203" spans="1:11" ht="120" x14ac:dyDescent="0.25">
      <c r="A203" s="76">
        <v>169</v>
      </c>
      <c r="B203" s="77" t="s">
        <v>279</v>
      </c>
      <c r="C203" s="58" t="s">
        <v>280</v>
      </c>
      <c r="D203" s="78" t="s">
        <v>276</v>
      </c>
      <c r="E203" s="78">
        <v>112</v>
      </c>
      <c r="F203" s="78">
        <v>280</v>
      </c>
      <c r="G203" s="29">
        <v>135</v>
      </c>
      <c r="I203" s="128">
        <f t="shared" si="9"/>
        <v>42</v>
      </c>
      <c r="J203" s="129">
        <f t="shared" si="10"/>
        <v>145</v>
      </c>
      <c r="K203" s="129">
        <f t="shared" si="11"/>
        <v>135</v>
      </c>
    </row>
    <row r="204" spans="1:11" ht="60" x14ac:dyDescent="0.25">
      <c r="A204" s="79">
        <v>170</v>
      </c>
      <c r="B204" s="77" t="s">
        <v>281</v>
      </c>
      <c r="C204" s="58" t="s">
        <v>282</v>
      </c>
      <c r="D204" s="78" t="s">
        <v>283</v>
      </c>
      <c r="E204" s="78">
        <v>80</v>
      </c>
      <c r="F204" s="78">
        <v>340</v>
      </c>
      <c r="G204" s="29">
        <v>120</v>
      </c>
      <c r="I204" s="128">
        <f t="shared" si="9"/>
        <v>51</v>
      </c>
      <c r="J204" s="129">
        <f t="shared" si="10"/>
        <v>220</v>
      </c>
      <c r="K204" s="129">
        <f t="shared" si="11"/>
        <v>120</v>
      </c>
    </row>
    <row r="205" spans="1:11" ht="105" x14ac:dyDescent="0.25">
      <c r="A205" s="76">
        <v>171</v>
      </c>
      <c r="B205" s="77" t="s">
        <v>284</v>
      </c>
      <c r="C205" s="58" t="s">
        <v>285</v>
      </c>
      <c r="D205" s="78" t="s">
        <v>114</v>
      </c>
      <c r="E205" s="78">
        <v>96</v>
      </c>
      <c r="F205" s="78">
        <v>670</v>
      </c>
      <c r="G205" s="29">
        <v>305</v>
      </c>
      <c r="I205" s="128">
        <f t="shared" si="9"/>
        <v>100.5</v>
      </c>
      <c r="J205" s="129">
        <f t="shared" si="10"/>
        <v>365</v>
      </c>
      <c r="K205" s="129">
        <f t="shared" si="11"/>
        <v>305</v>
      </c>
    </row>
    <row r="206" spans="1:11" ht="165" x14ac:dyDescent="0.25">
      <c r="A206" s="79">
        <v>172</v>
      </c>
      <c r="B206" s="77" t="s">
        <v>286</v>
      </c>
      <c r="C206" s="58" t="s">
        <v>287</v>
      </c>
      <c r="D206" s="78" t="s">
        <v>114</v>
      </c>
      <c r="E206" s="78">
        <v>50</v>
      </c>
      <c r="F206" s="78">
        <v>850</v>
      </c>
      <c r="G206" s="29">
        <v>280</v>
      </c>
      <c r="I206" s="128">
        <f t="shared" si="9"/>
        <v>127.5</v>
      </c>
      <c r="J206" s="129">
        <f t="shared" si="10"/>
        <v>570</v>
      </c>
      <c r="K206" s="129">
        <f t="shared" si="11"/>
        <v>280</v>
      </c>
    </row>
    <row r="207" spans="1:11" ht="180" x14ac:dyDescent="0.25">
      <c r="A207" s="76">
        <v>173</v>
      </c>
      <c r="B207" s="77" t="s">
        <v>288</v>
      </c>
      <c r="C207" s="58" t="s">
        <v>289</v>
      </c>
      <c r="D207" s="78" t="s">
        <v>114</v>
      </c>
      <c r="E207" s="78">
        <v>50</v>
      </c>
      <c r="F207" s="78">
        <v>800</v>
      </c>
      <c r="G207" s="29">
        <v>265</v>
      </c>
      <c r="I207" s="128">
        <f t="shared" si="9"/>
        <v>120</v>
      </c>
      <c r="J207" s="129">
        <f t="shared" si="10"/>
        <v>535</v>
      </c>
      <c r="K207" s="129">
        <f t="shared" si="11"/>
        <v>265</v>
      </c>
    </row>
    <row r="208" spans="1:11" ht="105" x14ac:dyDescent="0.25">
      <c r="A208" s="79">
        <v>174</v>
      </c>
      <c r="B208" s="77" t="s">
        <v>290</v>
      </c>
      <c r="C208" s="58" t="s">
        <v>291</v>
      </c>
      <c r="D208" s="78" t="s">
        <v>114</v>
      </c>
      <c r="E208" s="78">
        <v>50</v>
      </c>
      <c r="F208" s="78">
        <v>900</v>
      </c>
      <c r="G208" s="29">
        <v>280</v>
      </c>
      <c r="I208" s="128">
        <f t="shared" si="9"/>
        <v>135</v>
      </c>
      <c r="J208" s="129">
        <f t="shared" si="10"/>
        <v>620</v>
      </c>
      <c r="K208" s="129">
        <f t="shared" si="11"/>
        <v>280</v>
      </c>
    </row>
    <row r="209" spans="1:11" x14ac:dyDescent="0.25">
      <c r="A209" s="76">
        <v>175</v>
      </c>
      <c r="B209" s="77" t="s">
        <v>292</v>
      </c>
      <c r="C209" s="88" t="s">
        <v>293</v>
      </c>
      <c r="D209" s="78" t="s">
        <v>142</v>
      </c>
      <c r="E209" s="78">
        <v>100</v>
      </c>
      <c r="F209" s="78">
        <v>1400</v>
      </c>
      <c r="G209" s="29"/>
      <c r="I209" s="128">
        <f t="shared" si="9"/>
        <v>210</v>
      </c>
      <c r="J209" s="129">
        <f t="shared" si="10"/>
        <v>1400</v>
      </c>
      <c r="K209" s="129">
        <f t="shared" si="11"/>
        <v>0</v>
      </c>
    </row>
    <row r="210" spans="1:11" ht="45" x14ac:dyDescent="0.25">
      <c r="A210" s="79">
        <v>176</v>
      </c>
      <c r="B210" s="77" t="s">
        <v>294</v>
      </c>
      <c r="C210" s="58" t="s">
        <v>295</v>
      </c>
      <c r="D210" s="78" t="s">
        <v>259</v>
      </c>
      <c r="E210" s="78">
        <v>75</v>
      </c>
      <c r="F210" s="78">
        <v>1200</v>
      </c>
      <c r="G210" s="29">
        <v>310</v>
      </c>
      <c r="I210" s="128">
        <f t="shared" si="9"/>
        <v>180</v>
      </c>
      <c r="J210" s="129">
        <f t="shared" si="10"/>
        <v>890</v>
      </c>
      <c r="K210" s="129">
        <f t="shared" si="11"/>
        <v>310</v>
      </c>
    </row>
    <row r="211" spans="1:11" ht="90" x14ac:dyDescent="0.25">
      <c r="A211" s="76">
        <v>177</v>
      </c>
      <c r="B211" s="77" t="s">
        <v>296</v>
      </c>
      <c r="C211" s="58" t="s">
        <v>297</v>
      </c>
      <c r="D211" s="78" t="s">
        <v>253</v>
      </c>
      <c r="E211" s="78">
        <v>75</v>
      </c>
      <c r="F211" s="78">
        <v>1100</v>
      </c>
      <c r="G211" s="29">
        <v>335</v>
      </c>
      <c r="I211" s="128">
        <f t="shared" si="9"/>
        <v>165</v>
      </c>
      <c r="J211" s="129">
        <f t="shared" si="10"/>
        <v>765</v>
      </c>
      <c r="K211" s="129">
        <f t="shared" si="11"/>
        <v>335</v>
      </c>
    </row>
    <row r="212" spans="1:11" ht="225.75" thickBot="1" x14ac:dyDescent="0.3">
      <c r="A212" s="80">
        <v>178</v>
      </c>
      <c r="B212" s="89" t="s">
        <v>298</v>
      </c>
      <c r="C212" s="82" t="s">
        <v>299</v>
      </c>
      <c r="D212" s="83" t="s">
        <v>262</v>
      </c>
      <c r="E212" s="83">
        <v>72</v>
      </c>
      <c r="F212" s="83">
        <v>1100</v>
      </c>
      <c r="G212" s="84">
        <v>295</v>
      </c>
      <c r="I212" s="128">
        <f t="shared" si="9"/>
        <v>165</v>
      </c>
      <c r="J212" s="129">
        <f t="shared" si="10"/>
        <v>805</v>
      </c>
      <c r="K212" s="129">
        <f t="shared" si="11"/>
        <v>295</v>
      </c>
    </row>
    <row r="213" spans="1:11" x14ac:dyDescent="0.25">
      <c r="A213" s="2"/>
      <c r="G213" s="91"/>
    </row>
    <row r="214" spans="1:11" x14ac:dyDescent="0.25">
      <c r="A214" s="2"/>
      <c r="G214" s="91"/>
    </row>
    <row r="215" spans="1:11" x14ac:dyDescent="0.25">
      <c r="A215" s="2"/>
      <c r="G215" s="91"/>
    </row>
    <row r="216" spans="1:11" x14ac:dyDescent="0.25">
      <c r="A216" s="2"/>
      <c r="G216" s="91"/>
    </row>
    <row r="217" spans="1:11" x14ac:dyDescent="0.25">
      <c r="A217" s="2"/>
      <c r="G217" s="91"/>
    </row>
    <row r="218" spans="1:11" x14ac:dyDescent="0.25">
      <c r="A218" s="2"/>
      <c r="G218" s="91"/>
    </row>
    <row r="219" spans="1:11" x14ac:dyDescent="0.25">
      <c r="A219" s="2"/>
      <c r="G219" s="91"/>
    </row>
    <row r="220" spans="1:11" x14ac:dyDescent="0.25">
      <c r="A220" s="2"/>
      <c r="G220" s="91"/>
    </row>
    <row r="221" spans="1:11" x14ac:dyDescent="0.25">
      <c r="A221" s="2"/>
      <c r="G221" s="91"/>
    </row>
    <row r="222" spans="1:11" x14ac:dyDescent="0.25">
      <c r="A222" s="2"/>
      <c r="G222" s="91"/>
    </row>
    <row r="223" spans="1:11" x14ac:dyDescent="0.25">
      <c r="A223" s="2"/>
      <c r="G223" s="91"/>
    </row>
    <row r="224" spans="1:11" s="92" customFormat="1" ht="16.5" x14ac:dyDescent="0.25">
      <c r="D224" s="93"/>
      <c r="E224" s="93"/>
      <c r="F224" s="94"/>
      <c r="G224" s="95"/>
      <c r="H224" s="94"/>
    </row>
    <row r="225" spans="1:7" x14ac:dyDescent="0.25">
      <c r="A225" s="2"/>
      <c r="G225" s="91"/>
    </row>
    <row r="226" spans="1:7" x14ac:dyDescent="0.25">
      <c r="A226" s="2"/>
      <c r="G226" s="91"/>
    </row>
    <row r="227" spans="1:7" x14ac:dyDescent="0.25">
      <c r="A227" s="2"/>
      <c r="G227" s="91"/>
    </row>
    <row r="228" spans="1:7" x14ac:dyDescent="0.25">
      <c r="A228" s="2"/>
      <c r="G228" s="91"/>
    </row>
  </sheetData>
  <mergeCells count="53">
    <mergeCell ref="A1:G1"/>
    <mergeCell ref="A2:G2"/>
    <mergeCell ref="A114:G114"/>
    <mergeCell ref="A147:A149"/>
    <mergeCell ref="B147:B149"/>
    <mergeCell ref="D147:D149"/>
    <mergeCell ref="E147:E149"/>
    <mergeCell ref="F147:F149"/>
    <mergeCell ref="G147:G149"/>
    <mergeCell ref="G151:G153"/>
    <mergeCell ref="A154:A164"/>
    <mergeCell ref="B154:B164"/>
    <mergeCell ref="C154:C164"/>
    <mergeCell ref="D154:D164"/>
    <mergeCell ref="E154:E164"/>
    <mergeCell ref="F154:F164"/>
    <mergeCell ref="G154:G164"/>
    <mergeCell ref="A151:A153"/>
    <mergeCell ref="B151:B153"/>
    <mergeCell ref="C151:C153"/>
    <mergeCell ref="D151:D153"/>
    <mergeCell ref="E151:E153"/>
    <mergeCell ref="F151:F153"/>
    <mergeCell ref="G165:G167"/>
    <mergeCell ref="A169:A170"/>
    <mergeCell ref="B169:B170"/>
    <mergeCell ref="C169:C170"/>
    <mergeCell ref="D169:D170"/>
    <mergeCell ref="E169:E170"/>
    <mergeCell ref="F169:F170"/>
    <mergeCell ref="G169:G170"/>
    <mergeCell ref="A165:A167"/>
    <mergeCell ref="B165:B167"/>
    <mergeCell ref="C165:C167"/>
    <mergeCell ref="D165:D167"/>
    <mergeCell ref="E165:E167"/>
    <mergeCell ref="F165:F167"/>
    <mergeCell ref="A182:G182"/>
    <mergeCell ref="A188:G188"/>
    <mergeCell ref="G171:G174"/>
    <mergeCell ref="A177:A181"/>
    <mergeCell ref="B177:B181"/>
    <mergeCell ref="C177:C181"/>
    <mergeCell ref="D177:D181"/>
    <mergeCell ref="E177:E181"/>
    <mergeCell ref="F177:F181"/>
    <mergeCell ref="G177:G181"/>
    <mergeCell ref="A171:A174"/>
    <mergeCell ref="B171:B174"/>
    <mergeCell ref="C171:C174"/>
    <mergeCell ref="D171:D174"/>
    <mergeCell ref="E171:E174"/>
    <mergeCell ref="F171:F174"/>
  </mergeCells>
  <conditionalFormatting sqref="H3:H4">
    <cfRule type="expression" dxfId="0" priority="1">
      <formula>"Yes"</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Aamir Jahangir</cp:lastModifiedBy>
  <dcterms:created xsi:type="dcterms:W3CDTF">2026-08-13T12:34:24Z</dcterms:created>
  <dcterms:modified xsi:type="dcterms:W3CDTF">2026-08-14T08:03:40Z</dcterms:modified>
</cp:coreProperties>
</file>